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AP Master Analysis" sheetId="1" state="visible" r:id="rId1"/>
    <sheet xmlns:r="http://schemas.openxmlformats.org/officeDocument/2006/relationships" name="INC Master Analysis" sheetId="2" state="visible" r:id="rId2"/>
    <sheet xmlns:r="http://schemas.openxmlformats.org/officeDocument/2006/relationships" name="AAP Strategy &amp; Booth Clust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1B4F72"/>
      <sz val="10"/>
    </font>
    <font>
      <name val="Calibri"/>
      <b val="1"/>
      <sz val="10"/>
    </font>
    <font>
      <name val="Calibri"/>
      <b val="1"/>
      <color rgb="00276A3C"/>
      <sz val="10"/>
    </font>
    <font>
      <name val="Calibri"/>
      <color rgb="00595959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4"/>
    </font>
    <font>
      <name val="Calibri"/>
      <i val="1"/>
      <color rgb="00595959"/>
      <sz val="10"/>
    </font>
  </fonts>
  <fills count="14">
    <fill>
      <patternFill/>
    </fill>
    <fill>
      <patternFill patternType="gray125"/>
    </fill>
    <fill>
      <patternFill patternType="solid">
        <fgColor rgb="00B28900"/>
        <bgColor rgb="00B28900"/>
      </patternFill>
    </fill>
    <fill>
      <patternFill patternType="solid">
        <fgColor rgb="00F9FAFB"/>
        <bgColor rgb="00F9FAFB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E7E6E6"/>
        <bgColor rgb="00E7E6E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  <fill>
      <patternFill patternType="solid">
        <fgColor rgb="000F766E"/>
        <bgColor rgb="000F766E"/>
      </patternFill>
    </fill>
    <fill>
      <patternFill patternType="solid">
        <fgColor rgb="00D1FAE5"/>
        <bgColor rgb="00D1FAE5"/>
      </patternFill>
    </fill>
    <fill>
      <patternFill patternType="solid">
        <fgColor rgb="001F4E79"/>
        <bgColor rgb="001F4E79"/>
      </patternFill>
    </fill>
    <fill>
      <patternFill patternType="solid">
        <fgColor rgb="009C0006"/>
        <bgColor rgb="009C000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/>
    </xf>
    <xf numFmtId="3" fontId="2" fillId="3" borderId="2" applyAlignment="1" pivotButton="0" quotePrefix="0" xfId="0">
      <alignment horizontal="right" vertical="center"/>
    </xf>
    <xf numFmtId="164" fontId="2" fillId="3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center" vertical="center"/>
    </xf>
    <xf numFmtId="165" fontId="2" fillId="3" borderId="2" applyAlignment="1" pivotButton="0" quotePrefix="0" xfId="0">
      <alignment horizontal="right" vertical="center"/>
    </xf>
    <xf numFmtId="1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righ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8" borderId="2" applyAlignment="1" pivotButton="0" quotePrefix="0" xfId="0">
      <alignment horizontal="left" vertical="center"/>
    </xf>
    <xf numFmtId="0" fontId="4" fillId="9" borderId="3" applyAlignment="1" pivotButton="0" quotePrefix="0" xfId="0">
      <alignment horizontal="center" vertical="center"/>
    </xf>
    <xf numFmtId="3" fontId="4" fillId="9" borderId="3" applyAlignment="1" pivotButton="0" quotePrefix="0" xfId="0">
      <alignment horizontal="right" vertical="center"/>
    </xf>
    <xf numFmtId="164" fontId="4" fillId="9" borderId="3" applyAlignment="1" pivotButton="0" quotePrefix="0" xfId="0">
      <alignment horizontal="right" vertical="center"/>
    </xf>
    <xf numFmtId="165" fontId="4" fillId="9" borderId="3" applyAlignment="1" pivotButton="0" quotePrefix="0" xfId="0">
      <alignment horizontal="right" vertical="center"/>
    </xf>
    <xf numFmtId="0" fontId="1" fillId="10" borderId="1" applyAlignment="1" pivotButton="0" quotePrefix="0" xfId="0">
      <alignment horizontal="center" vertical="center"/>
    </xf>
    <xf numFmtId="0" fontId="4" fillId="11" borderId="3" applyAlignment="1" pivotButton="0" quotePrefix="0" xfId="0">
      <alignment horizontal="center" vertical="center"/>
    </xf>
    <xf numFmtId="3" fontId="4" fillId="11" borderId="3" applyAlignment="1" pivotButton="0" quotePrefix="0" xfId="0">
      <alignment horizontal="right" vertical="center"/>
    </xf>
    <xf numFmtId="164" fontId="4" fillId="11" borderId="3" applyAlignment="1" pivotButton="0" quotePrefix="0" xfId="0">
      <alignment horizontal="right" vertical="center"/>
    </xf>
    <xf numFmtId="165" fontId="4" fillId="11" borderId="3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5" fillId="5" borderId="2" pivotButton="0" quotePrefix="0" xfId="0"/>
    <xf numFmtId="0" fontId="5" fillId="5" borderId="2" applyAlignment="1" pivotButton="0" quotePrefix="0" xfId="0">
      <alignment horizontal="center" vertical="center"/>
    </xf>
    <xf numFmtId="0" fontId="2" fillId="0" borderId="2" pivotButton="0" quotePrefix="0" xfId="0"/>
    <xf numFmtId="0" fontId="3" fillId="4" borderId="2" pivotButton="0" quotePrefix="0" xfId="0"/>
    <xf numFmtId="0" fontId="3" fillId="4" borderId="2" applyAlignment="1" pivotButton="0" quotePrefix="0" xfId="0">
      <alignment horizontal="center" vertical="center"/>
    </xf>
    <xf numFmtId="0" fontId="8" fillId="8" borderId="2" pivotButton="0" quotePrefix="0" xfId="0"/>
    <xf numFmtId="0" fontId="8" fillId="8" borderId="2" applyAlignment="1" pivotButton="0" quotePrefix="0" xfId="0">
      <alignment horizontal="center" vertical="center"/>
    </xf>
    <xf numFmtId="0" fontId="7" fillId="7" borderId="2" pivotButton="0" quotePrefix="0" xfId="0"/>
    <xf numFmtId="0" fontId="7" fillId="7" borderId="2" applyAlignment="1" pivotButton="0" quotePrefix="0" xfId="0">
      <alignment horizontal="center" vertical="center"/>
    </xf>
    <xf numFmtId="0" fontId="6" fillId="6" borderId="2" pivotButton="0" quotePrefix="0" xfId="0"/>
    <xf numFmtId="0" fontId="6" fillId="6" borderId="2" applyAlignment="1" pivotButton="0" quotePrefix="0" xfId="0">
      <alignment horizontal="center" vertical="center"/>
    </xf>
    <xf numFmtId="0" fontId="4" fillId="0" borderId="0" pivotButton="0" quotePrefix="0" xfId="0"/>
    <xf numFmtId="0" fontId="1" fillId="12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" fillId="1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28" customWidth="1" min="4" max="4"/>
    <col width="17" customWidth="1" min="5" max="5"/>
    <col width="21" customWidth="1" min="6" max="6"/>
    <col width="14" customWidth="1" min="7" max="7"/>
    <col width="17" customWidth="1" min="8" max="8"/>
    <col width="21" customWidth="1" min="9" max="9"/>
    <col width="15" customWidth="1" min="10" max="10"/>
    <col width="14" customWidth="1" min="11" max="11"/>
    <col width="14" customWidth="1" min="12" max="12"/>
    <col width="16" customWidth="1" min="13" max="13"/>
    <col width="20" customWidth="1" min="14" max="14"/>
  </cols>
  <sheetData>
    <row r="1" ht="28" customHeight="1">
      <c r="A1" s="1" t="inlineStr">
        <is>
          <t>Booth No</t>
        </is>
      </c>
      <c r="B1" s="1" t="inlineStr">
        <is>
          <t>Village / Polling Station (English)</t>
        </is>
      </c>
      <c r="C1" s="1" t="inlineStr">
        <is>
          <t>Village Name (Punjabi)</t>
        </is>
      </c>
      <c r="D1" s="1" t="inlineStr">
        <is>
          <t>AAP Status Category</t>
        </is>
      </c>
      <c r="E1" s="1" t="inlineStr">
        <is>
          <t>2022 AAP Votes</t>
        </is>
      </c>
      <c r="F1" s="1" t="inlineStr">
        <is>
          <t>2022 AAP %</t>
        </is>
      </c>
      <c r="G1" s="1" t="inlineStr">
        <is>
          <t>2022 Winner</t>
        </is>
      </c>
      <c r="H1" s="1" t="inlineStr">
        <is>
          <t>2024 AAP Votes</t>
        </is>
      </c>
      <c r="I1" s="1" t="inlineStr">
        <is>
          <t>2024 AAP %</t>
        </is>
      </c>
      <c r="J1" s="1" t="inlineStr">
        <is>
          <t>2024 Winner</t>
        </is>
      </c>
      <c r="K1" s="1" t="inlineStr">
        <is>
          <t>Vote Shift (+/-)</t>
        </is>
      </c>
      <c r="L1" s="1" t="inlineStr">
        <is>
          <t>Swing % (+/-)</t>
        </is>
      </c>
      <c r="M1" s="1" t="inlineStr">
        <is>
          <t>2024 Margin</t>
        </is>
      </c>
      <c r="N1" s="1" t="inlineStr">
        <is>
          <t>2024 Total Polled</t>
        </is>
      </c>
    </row>
    <row r="2" ht="20" customHeight="1">
      <c r="A2" s="2" t="n">
        <v>1</v>
      </c>
      <c r="B2" s="3" t="inlineStr">
        <is>
          <t>Jogewal Jattan</t>
        </is>
      </c>
      <c r="C2" s="3" t="inlineStr">
        <is>
          <t>ਜੋਗੇਵਾਲ ਜੱਟਾਂ</t>
        </is>
      </c>
      <c r="D2" s="4" t="inlineStr">
        <is>
          <t>Gained in 2024 (New Win)</t>
        </is>
      </c>
      <c r="E2" s="5" t="n">
        <v>188</v>
      </c>
      <c r="F2" s="6">
        <f>188/537</f>
        <v/>
      </c>
      <c r="G2" s="7" t="inlineStr">
        <is>
          <t>INC</t>
        </is>
      </c>
      <c r="H2" s="5" t="n">
        <v>272</v>
      </c>
      <c r="I2" s="6">
        <f>272/505</f>
        <v/>
      </c>
      <c r="J2" s="7" t="inlineStr">
        <is>
          <t>AAP</t>
        </is>
      </c>
      <c r="K2" s="5" t="n">
        <v>84</v>
      </c>
      <c r="L2" s="8">
        <f>I2-F2</f>
        <v/>
      </c>
      <c r="M2" s="5" t="n">
        <v>171</v>
      </c>
      <c r="N2" s="5" t="n">
        <v>505</v>
      </c>
    </row>
    <row r="3" ht="20" customHeight="1">
      <c r="A3" s="9" t="n">
        <v>2</v>
      </c>
      <c r="B3" s="10" t="inlineStr">
        <is>
          <t>Chhotepur</t>
        </is>
      </c>
      <c r="C3" s="10" t="inlineStr">
        <is>
          <t>ਛੋਟੇਪੁਰ</t>
        </is>
      </c>
      <c r="D3" s="11" t="inlineStr">
        <is>
          <t>Won Both Times (Stronghold)</t>
        </is>
      </c>
      <c r="E3" s="12" t="n">
        <v>311</v>
      </c>
      <c r="F3" s="13">
        <f>311/622</f>
        <v/>
      </c>
      <c r="G3" s="14" t="inlineStr">
        <is>
          <t>AAP</t>
        </is>
      </c>
      <c r="H3" s="12" t="n">
        <v>276</v>
      </c>
      <c r="I3" s="13">
        <f>276/618</f>
        <v/>
      </c>
      <c r="J3" s="14" t="inlineStr">
        <is>
          <t>AAP</t>
        </is>
      </c>
      <c r="K3" s="12" t="n">
        <v>-35</v>
      </c>
      <c r="L3" s="15">
        <f>I3-F3</f>
        <v/>
      </c>
      <c r="M3" s="12" t="n">
        <v>107</v>
      </c>
      <c r="N3" s="12" t="n">
        <v>618</v>
      </c>
    </row>
    <row r="4" ht="20" customHeight="1">
      <c r="A4" s="2" t="n">
        <v>3</v>
      </c>
      <c r="B4" s="3" t="inlineStr">
        <is>
          <t>Allowal</t>
        </is>
      </c>
      <c r="C4" s="3" t="inlineStr">
        <is>
          <t>ਆਲੋਵਾਲ</t>
        </is>
      </c>
      <c r="D4" s="4" t="inlineStr">
        <is>
          <t>Gained in 2024 (New Win)</t>
        </is>
      </c>
      <c r="E4" s="5" t="n">
        <v>165</v>
      </c>
      <c r="F4" s="6">
        <f>165/478</f>
        <v/>
      </c>
      <c r="G4" s="7" t="inlineStr">
        <is>
          <t>INC</t>
        </is>
      </c>
      <c r="H4" s="5" t="n">
        <v>178</v>
      </c>
      <c r="I4" s="6">
        <f>178/425</f>
        <v/>
      </c>
      <c r="J4" s="7" t="inlineStr">
        <is>
          <t>AAP</t>
        </is>
      </c>
      <c r="K4" s="5" t="n">
        <v>13</v>
      </c>
      <c r="L4" s="8">
        <f>I4-F4</f>
        <v/>
      </c>
      <c r="M4" s="5" t="n">
        <v>43</v>
      </c>
      <c r="N4" s="5" t="n">
        <v>425</v>
      </c>
    </row>
    <row r="5" ht="20" customHeight="1">
      <c r="A5" s="9" t="n">
        <v>4</v>
      </c>
      <c r="B5" s="10" t="inlineStr">
        <is>
          <t>Allowal</t>
        </is>
      </c>
      <c r="C5" s="10" t="inlineStr">
        <is>
          <t>ਆਲੋਵਾਲ</t>
        </is>
      </c>
      <c r="D5" s="4" t="inlineStr">
        <is>
          <t>Gained in 2024 (New Win)</t>
        </is>
      </c>
      <c r="E5" s="12" t="n">
        <v>119</v>
      </c>
      <c r="F5" s="13">
        <f>119/458</f>
        <v/>
      </c>
      <c r="G5" s="14" t="inlineStr">
        <is>
          <t>INC</t>
        </is>
      </c>
      <c r="H5" s="12" t="n">
        <v>179</v>
      </c>
      <c r="I5" s="13">
        <f>179/397</f>
        <v/>
      </c>
      <c r="J5" s="14" t="inlineStr">
        <is>
          <t>AAP</t>
        </is>
      </c>
      <c r="K5" s="12" t="n">
        <v>60</v>
      </c>
      <c r="L5" s="15">
        <f>I5-F5</f>
        <v/>
      </c>
      <c r="M5" s="12" t="n">
        <v>13</v>
      </c>
      <c r="N5" s="12" t="n">
        <v>397</v>
      </c>
    </row>
    <row r="6" ht="20" customHeight="1">
      <c r="A6" s="2" t="n">
        <v>5</v>
      </c>
      <c r="B6" s="3" t="inlineStr">
        <is>
          <t>Kot Santokh Rai</t>
        </is>
      </c>
      <c r="C6" s="3" t="inlineStr">
        <is>
          <t>ਕੋਟ ਸੰਤੋਖ ਰਾਏ</t>
        </is>
      </c>
      <c r="D6" s="11" t="inlineStr">
        <is>
          <t>Won Both Times (Stronghold)</t>
        </is>
      </c>
      <c r="E6" s="5" t="n">
        <v>251</v>
      </c>
      <c r="F6" s="6">
        <f>251/625</f>
        <v/>
      </c>
      <c r="G6" s="7" t="inlineStr">
        <is>
          <t>AAP</t>
        </is>
      </c>
      <c r="H6" s="5" t="n">
        <v>212</v>
      </c>
      <c r="I6" s="6">
        <f>212/589</f>
        <v/>
      </c>
      <c r="J6" s="7" t="inlineStr">
        <is>
          <t>AAP</t>
        </is>
      </c>
      <c r="K6" s="5" t="n">
        <v>-39</v>
      </c>
      <c r="L6" s="8">
        <f>I6-F6</f>
        <v/>
      </c>
      <c r="M6" s="5" t="n">
        <v>18</v>
      </c>
      <c r="N6" s="5" t="n">
        <v>589</v>
      </c>
    </row>
    <row r="7" ht="20" customHeight="1">
      <c r="A7" s="9" t="n">
        <v>6</v>
      </c>
      <c r="B7" s="10" t="inlineStr">
        <is>
          <t>Kot Santokh Rai</t>
        </is>
      </c>
      <c r="C7" s="10" t="inlineStr">
        <is>
          <t>ਕੋਟ ਸੰਤੋਖ ਰਾਏ</t>
        </is>
      </c>
      <c r="D7" s="16" t="inlineStr">
        <is>
          <t>Lost Both Times (Deficit)</t>
        </is>
      </c>
      <c r="E7" s="12" t="n">
        <v>219</v>
      </c>
      <c r="F7" s="13">
        <f>219/646</f>
        <v/>
      </c>
      <c r="G7" s="14" t="inlineStr">
        <is>
          <t>SAD</t>
        </is>
      </c>
      <c r="H7" s="12" t="n">
        <v>187</v>
      </c>
      <c r="I7" s="13">
        <f>187/562</f>
        <v/>
      </c>
      <c r="J7" s="14" t="inlineStr">
        <is>
          <t>INC</t>
        </is>
      </c>
      <c r="K7" s="12" t="n">
        <v>-32</v>
      </c>
      <c r="L7" s="15">
        <f>I7-F7</f>
        <v/>
      </c>
      <c r="M7" s="12" t="n">
        <v>28</v>
      </c>
      <c r="N7" s="12" t="n">
        <v>562</v>
      </c>
    </row>
    <row r="8" ht="20" customHeight="1">
      <c r="A8" s="2" t="n">
        <v>7</v>
      </c>
      <c r="B8" s="3" t="inlineStr">
        <is>
          <t>Kheh Tikha + Chakk Gharoye</t>
        </is>
      </c>
      <c r="C8" s="3" t="inlineStr">
        <is>
          <t>ਖੇਹ ਤਿੱਖਾ + ਚੱਕ ਘਰੋਏ</t>
        </is>
      </c>
      <c r="D8" s="16" t="inlineStr">
        <is>
          <t>Lost Both Times (Deficit)</t>
        </is>
      </c>
      <c r="E8" s="5" t="n">
        <v>211</v>
      </c>
      <c r="F8" s="6">
        <f>211/672</f>
        <v/>
      </c>
      <c r="G8" s="7" t="inlineStr">
        <is>
          <t>SAD</t>
        </is>
      </c>
      <c r="H8" s="5" t="n">
        <v>171</v>
      </c>
      <c r="I8" s="6">
        <f>171/626</f>
        <v/>
      </c>
      <c r="J8" s="7" t="inlineStr">
        <is>
          <t>INC</t>
        </is>
      </c>
      <c r="K8" s="5" t="n">
        <v>-40</v>
      </c>
      <c r="L8" s="8">
        <f>I8-F8</f>
        <v/>
      </c>
      <c r="M8" s="5" t="n">
        <v>75</v>
      </c>
      <c r="N8" s="5" t="n">
        <v>626</v>
      </c>
    </row>
    <row r="9" ht="20" customHeight="1">
      <c r="A9" s="9" t="n">
        <v>8</v>
      </c>
      <c r="B9" s="10" t="inlineStr">
        <is>
          <t>Chakk Deepewal + Devidaspur</t>
        </is>
      </c>
      <c r="C9" s="10" t="inlineStr">
        <is>
          <t>ਚੱਕ ਦੀਪੇਵਾਲ + ਦੇਵੀਦਾਸਪੁਰ</t>
        </is>
      </c>
      <c r="D9" s="16" t="inlineStr">
        <is>
          <t>Lost Both Times (Deficit)</t>
        </is>
      </c>
      <c r="E9" s="12" t="n">
        <v>147</v>
      </c>
      <c r="F9" s="13">
        <f>147/620</f>
        <v/>
      </c>
      <c r="G9" s="14" t="inlineStr">
        <is>
          <t>INC</t>
        </is>
      </c>
      <c r="H9" s="12" t="n">
        <v>133</v>
      </c>
      <c r="I9" s="13">
        <f>133/534</f>
        <v/>
      </c>
      <c r="J9" s="14" t="inlineStr">
        <is>
          <t>INC</t>
        </is>
      </c>
      <c r="K9" s="12" t="n">
        <v>-14</v>
      </c>
      <c r="L9" s="15">
        <f>I9-F9</f>
        <v/>
      </c>
      <c r="M9" s="12" t="n">
        <v>147</v>
      </c>
      <c r="N9" s="12" t="n">
        <v>534</v>
      </c>
    </row>
    <row r="10" ht="20" customHeight="1">
      <c r="A10" s="2" t="n">
        <v>9</v>
      </c>
      <c r="B10" s="3" t="inlineStr">
        <is>
          <t>Bal</t>
        </is>
      </c>
      <c r="C10" s="3" t="inlineStr">
        <is>
          <t>ਬੱਲ</t>
        </is>
      </c>
      <c r="D10" s="16" t="inlineStr">
        <is>
          <t>Lost Both Times (Deficit)</t>
        </is>
      </c>
      <c r="E10" s="5" t="n">
        <v>195</v>
      </c>
      <c r="F10" s="6">
        <f>195/589</f>
        <v/>
      </c>
      <c r="G10" s="7" t="inlineStr">
        <is>
          <t>INC</t>
        </is>
      </c>
      <c r="H10" s="5" t="n">
        <v>152</v>
      </c>
      <c r="I10" s="6">
        <f>152/577</f>
        <v/>
      </c>
      <c r="J10" s="7" t="inlineStr">
        <is>
          <t>INC</t>
        </is>
      </c>
      <c r="K10" s="5" t="n">
        <v>-43</v>
      </c>
      <c r="L10" s="8">
        <f>I10-F10</f>
        <v/>
      </c>
      <c r="M10" s="5" t="n">
        <v>93</v>
      </c>
      <c r="N10" s="5" t="n">
        <v>577</v>
      </c>
    </row>
    <row r="11" ht="20" customHeight="1">
      <c r="A11" s="9" t="n">
        <v>10</v>
      </c>
      <c r="B11" s="10" t="inlineStr">
        <is>
          <t>Bal</t>
        </is>
      </c>
      <c r="C11" s="10" t="inlineStr">
        <is>
          <t>ਬੱਲ</t>
        </is>
      </c>
      <c r="D11" s="4" t="inlineStr">
        <is>
          <t>Gained in 2024 (New Win)</t>
        </is>
      </c>
      <c r="E11" s="12" t="n">
        <v>229</v>
      </c>
      <c r="F11" s="13">
        <f>229/648</f>
        <v/>
      </c>
      <c r="G11" s="14" t="inlineStr">
        <is>
          <t>INC</t>
        </is>
      </c>
      <c r="H11" s="12" t="n">
        <v>229</v>
      </c>
      <c r="I11" s="13">
        <f>229/562</f>
        <v/>
      </c>
      <c r="J11" s="14" t="inlineStr">
        <is>
          <t>AAP</t>
        </is>
      </c>
      <c r="K11" s="12" t="n">
        <v>0</v>
      </c>
      <c r="L11" s="15">
        <f>I11-F11</f>
        <v/>
      </c>
      <c r="M11" s="12" t="n">
        <v>87</v>
      </c>
      <c r="N11" s="12" t="n">
        <v>562</v>
      </c>
    </row>
    <row r="12" ht="20" customHeight="1">
      <c r="A12" s="2" t="n">
        <v>11</v>
      </c>
      <c r="B12" s="3" t="inlineStr">
        <is>
          <t>Sanghar</t>
        </is>
      </c>
      <c r="C12" s="3" t="inlineStr">
        <is>
          <t>ਸੰਘਰ</t>
        </is>
      </c>
      <c r="D12" s="17" t="inlineStr">
        <is>
          <t>Weak Booth (&lt; 20% Share)</t>
        </is>
      </c>
      <c r="E12" s="5" t="n">
        <v>144</v>
      </c>
      <c r="F12" s="6">
        <f>144/730</f>
        <v/>
      </c>
      <c r="G12" s="7" t="inlineStr">
        <is>
          <t>INC</t>
        </is>
      </c>
      <c r="H12" s="5" t="n">
        <v>128</v>
      </c>
      <c r="I12" s="6">
        <f>128/720</f>
        <v/>
      </c>
      <c r="J12" s="7" t="inlineStr">
        <is>
          <t>INC</t>
        </is>
      </c>
      <c r="K12" s="5" t="n">
        <v>-16</v>
      </c>
      <c r="L12" s="8">
        <f>I12-F12</f>
        <v/>
      </c>
      <c r="M12" s="5" t="n">
        <v>381</v>
      </c>
      <c r="N12" s="5" t="n">
        <v>720</v>
      </c>
    </row>
    <row r="13" ht="20" customHeight="1">
      <c r="A13" s="9" t="n">
        <v>12</v>
      </c>
      <c r="B13" s="10" t="inlineStr">
        <is>
          <t>Akhlaspur</t>
        </is>
      </c>
      <c r="C13" s="10" t="inlineStr">
        <is>
          <t>ਅਖਲਾਸਪੁਰ</t>
        </is>
      </c>
      <c r="D13" s="16" t="inlineStr">
        <is>
          <t>Lost Both Times (Deficit)</t>
        </is>
      </c>
      <c r="E13" s="12" t="n">
        <v>152</v>
      </c>
      <c r="F13" s="13">
        <f>152/418</f>
        <v/>
      </c>
      <c r="G13" s="14" t="inlineStr">
        <is>
          <t>INC</t>
        </is>
      </c>
      <c r="H13" s="12" t="n">
        <v>97</v>
      </c>
      <c r="I13" s="13">
        <f>97/409</f>
        <v/>
      </c>
      <c r="J13" s="14" t="inlineStr">
        <is>
          <t>INC</t>
        </is>
      </c>
      <c r="K13" s="12" t="n">
        <v>-55</v>
      </c>
      <c r="L13" s="15">
        <f>I13-F13</f>
        <v/>
      </c>
      <c r="M13" s="12" t="n">
        <v>39</v>
      </c>
      <c r="N13" s="12" t="n">
        <v>409</v>
      </c>
    </row>
    <row r="14" ht="20" customHeight="1">
      <c r="A14" s="2" t="n">
        <v>13</v>
      </c>
      <c r="B14" s="3" t="inlineStr">
        <is>
          <t>Singhpura</t>
        </is>
      </c>
      <c r="C14" s="3" t="inlineStr">
        <is>
          <t>ਸਿੰਘਪੁਰਾ</t>
        </is>
      </c>
      <c r="D14" s="11" t="inlineStr">
        <is>
          <t>Won Both Times (Stronghold)</t>
        </is>
      </c>
      <c r="E14" s="5" t="n">
        <v>283</v>
      </c>
      <c r="F14" s="6">
        <f>283/631</f>
        <v/>
      </c>
      <c r="G14" s="7" t="inlineStr">
        <is>
          <t>AAP</t>
        </is>
      </c>
      <c r="H14" s="5" t="n">
        <v>196</v>
      </c>
      <c r="I14" s="6">
        <f>196/604</f>
        <v/>
      </c>
      <c r="J14" s="7" t="inlineStr">
        <is>
          <t>AAP</t>
        </is>
      </c>
      <c r="K14" s="5" t="n">
        <v>-87</v>
      </c>
      <c r="L14" s="8">
        <f>I14-F14</f>
        <v/>
      </c>
      <c r="M14" s="5" t="n">
        <v>54</v>
      </c>
      <c r="N14" s="5" t="n">
        <v>604</v>
      </c>
    </row>
    <row r="15" ht="20" customHeight="1">
      <c r="A15" s="9" t="n">
        <v>14</v>
      </c>
      <c r="B15" s="10" t="inlineStr">
        <is>
          <t>Badesh</t>
        </is>
      </c>
      <c r="C15" s="10" t="inlineStr">
        <is>
          <t>ਬਦੇਸ਼ਾਂ</t>
        </is>
      </c>
      <c r="D15" s="18" t="inlineStr">
        <is>
          <t>Lost in 2024 (to INC)</t>
        </is>
      </c>
      <c r="E15" s="12" t="n">
        <v>203</v>
      </c>
      <c r="F15" s="13">
        <f>203/491</f>
        <v/>
      </c>
      <c r="G15" s="14" t="inlineStr">
        <is>
          <t>AAP</t>
        </is>
      </c>
      <c r="H15" s="12" t="n">
        <v>117</v>
      </c>
      <c r="I15" s="13">
        <f>117/453</f>
        <v/>
      </c>
      <c r="J15" s="14" t="inlineStr">
        <is>
          <t>INC</t>
        </is>
      </c>
      <c r="K15" s="12" t="n">
        <v>-86</v>
      </c>
      <c r="L15" s="15">
        <f>I15-F15</f>
        <v/>
      </c>
      <c r="M15" s="12" t="n">
        <v>49</v>
      </c>
      <c r="N15" s="12" t="n">
        <v>453</v>
      </c>
    </row>
    <row r="16" ht="20" customHeight="1">
      <c r="A16" s="2" t="n">
        <v>15</v>
      </c>
      <c r="B16" s="3" t="inlineStr">
        <is>
          <t>Sandhwan</t>
        </is>
      </c>
      <c r="C16" s="3" t="inlineStr">
        <is>
          <t>ਸੰਧਵਾਂ</t>
        </is>
      </c>
      <c r="D16" s="11" t="inlineStr">
        <is>
          <t>Won Both Times (Stronghold)</t>
        </is>
      </c>
      <c r="E16" s="5" t="n">
        <v>238</v>
      </c>
      <c r="F16" s="6">
        <f>238/440</f>
        <v/>
      </c>
      <c r="G16" s="7" t="inlineStr">
        <is>
          <t>AAP</t>
        </is>
      </c>
      <c r="H16" s="5" t="n">
        <v>172</v>
      </c>
      <c r="I16" s="6">
        <f>172/426</f>
        <v/>
      </c>
      <c r="J16" s="7" t="inlineStr">
        <is>
          <t>AAP</t>
        </is>
      </c>
      <c r="K16" s="5" t="n">
        <v>-66</v>
      </c>
      <c r="L16" s="8">
        <f>I16-F16</f>
        <v/>
      </c>
      <c r="M16" s="5" t="n">
        <v>12</v>
      </c>
      <c r="N16" s="5" t="n">
        <v>426</v>
      </c>
    </row>
    <row r="17" ht="20" customHeight="1">
      <c r="A17" s="9" t="n">
        <v>16</v>
      </c>
      <c r="B17" s="10" t="inlineStr">
        <is>
          <t>Kalyanpur</t>
        </is>
      </c>
      <c r="C17" s="10" t="inlineStr">
        <is>
          <t>ਕਲਿਆਨਪੁਰ</t>
        </is>
      </c>
      <c r="D17" s="16" t="inlineStr">
        <is>
          <t>Lost Both Times (Deficit)</t>
        </is>
      </c>
      <c r="E17" s="12" t="n">
        <v>127</v>
      </c>
      <c r="F17" s="13">
        <f>127/598</f>
        <v/>
      </c>
      <c r="G17" s="14" t="inlineStr">
        <is>
          <t>SAD</t>
        </is>
      </c>
      <c r="H17" s="12" t="n">
        <v>146</v>
      </c>
      <c r="I17" s="13">
        <f>146/542</f>
        <v/>
      </c>
      <c r="J17" s="14" t="inlineStr">
        <is>
          <t>INC</t>
        </is>
      </c>
      <c r="K17" s="12" t="n">
        <v>19</v>
      </c>
      <c r="L17" s="15">
        <f>I17-F17</f>
        <v/>
      </c>
      <c r="M17" s="12" t="n">
        <v>82</v>
      </c>
      <c r="N17" s="12" t="n">
        <v>542</v>
      </c>
    </row>
    <row r="18" ht="20" customHeight="1">
      <c r="A18" s="2" t="n">
        <v>17</v>
      </c>
      <c r="B18" s="3" t="inlineStr">
        <is>
          <t>Kalyanpur</t>
        </is>
      </c>
      <c r="C18" s="3" t="inlineStr">
        <is>
          <t>ਕਲਿਆਨਪੁਰ</t>
        </is>
      </c>
      <c r="D18" s="16" t="inlineStr">
        <is>
          <t>Lost Both Times (Deficit)</t>
        </is>
      </c>
      <c r="E18" s="5" t="n">
        <v>221</v>
      </c>
      <c r="F18" s="6">
        <f>221/737</f>
        <v/>
      </c>
      <c r="G18" s="7" t="inlineStr">
        <is>
          <t>SAD</t>
        </is>
      </c>
      <c r="H18" s="5" t="n">
        <v>180</v>
      </c>
      <c r="I18" s="6">
        <f>180/749</f>
        <v/>
      </c>
      <c r="J18" s="7" t="inlineStr">
        <is>
          <t>INC</t>
        </is>
      </c>
      <c r="K18" s="5" t="n">
        <v>-41</v>
      </c>
      <c r="L18" s="8">
        <f>I18-F18</f>
        <v/>
      </c>
      <c r="M18" s="5" t="n">
        <v>117</v>
      </c>
      <c r="N18" s="5" t="n">
        <v>749</v>
      </c>
    </row>
    <row r="19" ht="20" customHeight="1">
      <c r="A19" s="9" t="n">
        <v>18</v>
      </c>
      <c r="B19" s="10" t="inlineStr">
        <is>
          <t>Gurdas Nangal + Badiyawala</t>
        </is>
      </c>
      <c r="C19" s="10" t="inlineStr">
        <is>
          <t>ਗੁਰਦਾਸ ਨੰਗਲ + ਬੜੀਆਵਾਲਾ</t>
        </is>
      </c>
      <c r="D19" s="16" t="inlineStr">
        <is>
          <t>Lost Both Times (Deficit)</t>
        </is>
      </c>
      <c r="E19" s="12" t="n">
        <v>161</v>
      </c>
      <c r="F19" s="13">
        <f>161/649</f>
        <v/>
      </c>
      <c r="G19" s="14" t="inlineStr">
        <is>
          <t>INC</t>
        </is>
      </c>
      <c r="H19" s="12" t="n">
        <v>217</v>
      </c>
      <c r="I19" s="13">
        <f>217/556</f>
        <v/>
      </c>
      <c r="J19" s="14" t="inlineStr">
        <is>
          <t>INC</t>
        </is>
      </c>
      <c r="K19" s="12" t="n">
        <v>56</v>
      </c>
      <c r="L19" s="15">
        <f>I19-F19</f>
        <v/>
      </c>
      <c r="M19" s="12" t="n">
        <v>27</v>
      </c>
      <c r="N19" s="12" t="n">
        <v>556</v>
      </c>
    </row>
    <row r="20" ht="20" customHeight="1">
      <c r="A20" s="2" t="n">
        <v>19</v>
      </c>
      <c r="B20" s="3" t="inlineStr">
        <is>
          <t>Gurdas Nangal + Badiyawala</t>
        </is>
      </c>
      <c r="C20" s="3" t="inlineStr">
        <is>
          <t>ਗੁਰਦਾਸ ਨੰਗਲ + ਬੜੀਆਵਾਲਾ</t>
        </is>
      </c>
      <c r="D20" s="18" t="inlineStr">
        <is>
          <t>Lost in 2024 (to INC)</t>
        </is>
      </c>
      <c r="E20" s="5" t="n">
        <v>288</v>
      </c>
      <c r="F20" s="6">
        <f>288/808</f>
        <v/>
      </c>
      <c r="G20" s="7" t="inlineStr">
        <is>
          <t>AAP</t>
        </is>
      </c>
      <c r="H20" s="5" t="n">
        <v>236</v>
      </c>
      <c r="I20" s="6">
        <f>236/676</f>
        <v/>
      </c>
      <c r="J20" s="7" t="inlineStr">
        <is>
          <t>INC</t>
        </is>
      </c>
      <c r="K20" s="5" t="n">
        <v>-52</v>
      </c>
      <c r="L20" s="8">
        <f>I20-F20</f>
        <v/>
      </c>
      <c r="M20" s="5" t="n">
        <v>59</v>
      </c>
      <c r="N20" s="5" t="n">
        <v>676</v>
      </c>
    </row>
    <row r="21" ht="20" customHeight="1">
      <c r="A21" s="9" t="n">
        <v>20</v>
      </c>
      <c r="B21" s="10" t="inlineStr">
        <is>
          <t>Gurdas Nangal + Badiyawala</t>
        </is>
      </c>
      <c r="C21" s="10" t="inlineStr">
        <is>
          <t>ਗੁਰਦਾਸ ਨੰਗਲ + ਬੜੀਆਵਾਲਾ</t>
        </is>
      </c>
      <c r="D21" s="18" t="inlineStr">
        <is>
          <t>Lost in 2024 (to INC)</t>
        </is>
      </c>
      <c r="E21" s="12" t="n">
        <v>326</v>
      </c>
      <c r="F21" s="13">
        <f>326/612</f>
        <v/>
      </c>
      <c r="G21" s="14" t="inlineStr">
        <is>
          <t>AAP</t>
        </is>
      </c>
      <c r="H21" s="12" t="n">
        <v>172</v>
      </c>
      <c r="I21" s="13">
        <f>172/498</f>
        <v/>
      </c>
      <c r="J21" s="14" t="inlineStr">
        <is>
          <t>INC</t>
        </is>
      </c>
      <c r="K21" s="12" t="n">
        <v>-154</v>
      </c>
      <c r="L21" s="15">
        <f>I21-F21</f>
        <v/>
      </c>
      <c r="M21" s="12" t="n">
        <v>21</v>
      </c>
      <c r="N21" s="12" t="n">
        <v>498</v>
      </c>
    </row>
    <row r="22" ht="20" customHeight="1">
      <c r="A22" s="2" t="n">
        <v>21</v>
      </c>
      <c r="B22" s="3" t="inlineStr">
        <is>
          <t>Japuwal</t>
        </is>
      </c>
      <c r="C22" s="3" t="inlineStr">
        <is>
          <t>ਜਾਪੂਵਾਲ</t>
        </is>
      </c>
      <c r="D22" s="16" t="inlineStr">
        <is>
          <t>Lost Both Times (Deficit)</t>
        </is>
      </c>
      <c r="E22" s="5" t="n">
        <v>106</v>
      </c>
      <c r="F22" s="6">
        <f>106/381</f>
        <v/>
      </c>
      <c r="G22" s="7" t="inlineStr">
        <is>
          <t>INC</t>
        </is>
      </c>
      <c r="H22" s="5" t="n">
        <v>81</v>
      </c>
      <c r="I22" s="6">
        <f>81/349</f>
        <v/>
      </c>
      <c r="J22" s="7" t="inlineStr">
        <is>
          <t>INC</t>
        </is>
      </c>
      <c r="K22" s="5" t="n">
        <v>-25</v>
      </c>
      <c r="L22" s="8">
        <f>I22-F22</f>
        <v/>
      </c>
      <c r="M22" s="5" t="n">
        <v>89</v>
      </c>
      <c r="N22" s="5" t="n">
        <v>349</v>
      </c>
    </row>
    <row r="23" ht="20" customHeight="1">
      <c r="A23" s="9" t="n">
        <v>22</v>
      </c>
      <c r="B23" s="10" t="inlineStr">
        <is>
          <t>Dhariwal</t>
        </is>
      </c>
      <c r="C23" s="10" t="inlineStr">
        <is>
          <t>ਧਾਰੀਵਾਲ</t>
        </is>
      </c>
      <c r="D23" s="4" t="inlineStr">
        <is>
          <t>Gained in 2024 (New Win)</t>
        </is>
      </c>
      <c r="E23" s="12" t="n">
        <v>99</v>
      </c>
      <c r="F23" s="13">
        <f>99/353</f>
        <v/>
      </c>
      <c r="G23" s="14" t="inlineStr">
        <is>
          <t>INC</t>
        </is>
      </c>
      <c r="H23" s="12" t="n">
        <v>181</v>
      </c>
      <c r="I23" s="13">
        <f>181/327</f>
        <v/>
      </c>
      <c r="J23" s="14" t="inlineStr">
        <is>
          <t>AAP</t>
        </is>
      </c>
      <c r="K23" s="12" t="n">
        <v>82</v>
      </c>
      <c r="L23" s="15">
        <f>I23-F23</f>
        <v/>
      </c>
      <c r="M23" s="12" t="n">
        <v>97</v>
      </c>
      <c r="N23" s="12" t="n">
        <v>327</v>
      </c>
    </row>
    <row r="24" ht="20" customHeight="1">
      <c r="A24" s="2" t="n">
        <v>23</v>
      </c>
      <c r="B24" s="3" t="inlineStr">
        <is>
          <t>Sohal</t>
        </is>
      </c>
      <c r="C24" s="3" t="inlineStr">
        <is>
          <t>ਸੋਹਲ</t>
        </is>
      </c>
      <c r="D24" s="18" t="inlineStr">
        <is>
          <t>Lost in 2024 (to INC)</t>
        </is>
      </c>
      <c r="E24" s="5" t="n">
        <v>399</v>
      </c>
      <c r="F24" s="6">
        <f>399/856</f>
        <v/>
      </c>
      <c r="G24" s="7" t="inlineStr">
        <is>
          <t>AAP</t>
        </is>
      </c>
      <c r="H24" s="5" t="n">
        <v>172</v>
      </c>
      <c r="I24" s="6">
        <f>172/738</f>
        <v/>
      </c>
      <c r="J24" s="7" t="inlineStr">
        <is>
          <t>INC</t>
        </is>
      </c>
      <c r="K24" s="5" t="n">
        <v>-227</v>
      </c>
      <c r="L24" s="8">
        <f>I24-F24</f>
        <v/>
      </c>
      <c r="M24" s="5" t="n">
        <v>160</v>
      </c>
      <c r="N24" s="5" t="n">
        <v>738</v>
      </c>
    </row>
    <row r="25" ht="20" customHeight="1">
      <c r="A25" s="9" t="n">
        <v>24</v>
      </c>
      <c r="B25" s="10" t="inlineStr">
        <is>
          <t>Sohal</t>
        </is>
      </c>
      <c r="C25" s="10" t="inlineStr">
        <is>
          <t>ਸੋਹਲ</t>
        </is>
      </c>
      <c r="D25" s="18" t="inlineStr">
        <is>
          <t>Lost in 2024 (to INC)</t>
        </is>
      </c>
      <c r="E25" s="12" t="n">
        <v>327</v>
      </c>
      <c r="F25" s="13">
        <f>327/772</f>
        <v/>
      </c>
      <c r="G25" s="14" t="inlineStr">
        <is>
          <t>AAP</t>
        </is>
      </c>
      <c r="H25" s="12" t="n">
        <v>121</v>
      </c>
      <c r="I25" s="13">
        <f>121/627</f>
        <v/>
      </c>
      <c r="J25" s="14" t="inlineStr">
        <is>
          <t>INC</t>
        </is>
      </c>
      <c r="K25" s="12" t="n">
        <v>-206</v>
      </c>
      <c r="L25" s="15">
        <f>I25-F25</f>
        <v/>
      </c>
      <c r="M25" s="12" t="n">
        <v>83</v>
      </c>
      <c r="N25" s="12" t="n">
        <v>627</v>
      </c>
    </row>
    <row r="26" ht="20" customHeight="1">
      <c r="A26" s="2" t="n">
        <v>25</v>
      </c>
      <c r="B26" s="3" t="inlineStr">
        <is>
          <t>Sohal</t>
        </is>
      </c>
      <c r="C26" s="3" t="inlineStr">
        <is>
          <t>ਸੋਹਲ</t>
        </is>
      </c>
      <c r="D26" s="18" t="inlineStr">
        <is>
          <t>Lost in 2024 (to INC)</t>
        </is>
      </c>
      <c r="E26" s="5" t="n">
        <v>239</v>
      </c>
      <c r="F26" s="6">
        <f>239/729</f>
        <v/>
      </c>
      <c r="G26" s="7" t="inlineStr">
        <is>
          <t>AAP</t>
        </is>
      </c>
      <c r="H26" s="5" t="n">
        <v>150</v>
      </c>
      <c r="I26" s="6">
        <f>150/648</f>
        <v/>
      </c>
      <c r="J26" s="7" t="inlineStr">
        <is>
          <t>INC</t>
        </is>
      </c>
      <c r="K26" s="5" t="n">
        <v>-89</v>
      </c>
      <c r="L26" s="8">
        <f>I26-F26</f>
        <v/>
      </c>
      <c r="M26" s="5" t="n">
        <v>119</v>
      </c>
      <c r="N26" s="5" t="n">
        <v>648</v>
      </c>
    </row>
    <row r="27" ht="20" customHeight="1">
      <c r="A27" s="9" t="n">
        <v>26</v>
      </c>
      <c r="B27" s="10" t="inlineStr">
        <is>
          <t>Sohal</t>
        </is>
      </c>
      <c r="C27" s="10" t="inlineStr">
        <is>
          <t>ਸੋਹਲ</t>
        </is>
      </c>
      <c r="D27" s="18" t="inlineStr">
        <is>
          <t>Lost in 2024 (to INC)</t>
        </is>
      </c>
      <c r="E27" s="12" t="n">
        <v>241</v>
      </c>
      <c r="F27" s="13">
        <f>241/677</f>
        <v/>
      </c>
      <c r="G27" s="14" t="inlineStr">
        <is>
          <t>AAP</t>
        </is>
      </c>
      <c r="H27" s="12" t="n">
        <v>126</v>
      </c>
      <c r="I27" s="13">
        <f>126/565</f>
        <v/>
      </c>
      <c r="J27" s="14" t="inlineStr">
        <is>
          <t>INC</t>
        </is>
      </c>
      <c r="K27" s="12" t="n">
        <v>-115</v>
      </c>
      <c r="L27" s="15">
        <f>I27-F27</f>
        <v/>
      </c>
      <c r="M27" s="12" t="n">
        <v>109</v>
      </c>
      <c r="N27" s="12" t="n">
        <v>565</v>
      </c>
    </row>
    <row r="28" ht="20" customHeight="1">
      <c r="A28" s="2" t="n">
        <v>27</v>
      </c>
      <c r="B28" s="3" t="inlineStr">
        <is>
          <t>Mahandev Kalan</t>
        </is>
      </c>
      <c r="C28" s="3" t="inlineStr">
        <is>
          <t>ਮਹਾਂਦੇਵ ਕਲਾਂ</t>
        </is>
      </c>
      <c r="D28" s="11" t="inlineStr">
        <is>
          <t>Won Both Times (Stronghold)</t>
        </is>
      </c>
      <c r="E28" s="5" t="n">
        <v>146</v>
      </c>
      <c r="F28" s="6">
        <f>146/368</f>
        <v/>
      </c>
      <c r="G28" s="7" t="inlineStr">
        <is>
          <t>AAP</t>
        </is>
      </c>
      <c r="H28" s="5" t="n">
        <v>122</v>
      </c>
      <c r="I28" s="6">
        <f>122/335</f>
        <v/>
      </c>
      <c r="J28" s="7" t="inlineStr">
        <is>
          <t>AAP</t>
        </is>
      </c>
      <c r="K28" s="5" t="n">
        <v>-24</v>
      </c>
      <c r="L28" s="8">
        <f>I28-F28</f>
        <v/>
      </c>
      <c r="M28" s="5" t="n">
        <v>12</v>
      </c>
      <c r="N28" s="5" t="n">
        <v>335</v>
      </c>
    </row>
    <row r="29" ht="20" customHeight="1">
      <c r="A29" s="9" t="n">
        <v>28</v>
      </c>
      <c r="B29" s="10" t="inlineStr">
        <is>
          <t>Pir Di Sain</t>
        </is>
      </c>
      <c r="C29" s="10" t="inlineStr">
        <is>
          <t>ਪੀਰ ਦੀ ਸੈਨ</t>
        </is>
      </c>
      <c r="D29" s="11" t="inlineStr">
        <is>
          <t>Won Both Times (Stronghold)</t>
        </is>
      </c>
      <c r="E29" s="12" t="n">
        <v>194</v>
      </c>
      <c r="F29" s="13">
        <f>194/362</f>
        <v/>
      </c>
      <c r="G29" s="14" t="inlineStr">
        <is>
          <t>AAP</t>
        </is>
      </c>
      <c r="H29" s="12" t="n">
        <v>203</v>
      </c>
      <c r="I29" s="13">
        <f>203/362</f>
        <v/>
      </c>
      <c r="J29" s="14" t="inlineStr">
        <is>
          <t>AAP</t>
        </is>
      </c>
      <c r="K29" s="12" t="n">
        <v>9</v>
      </c>
      <c r="L29" s="15">
        <f>I29-F29</f>
        <v/>
      </c>
      <c r="M29" s="12" t="n">
        <v>63</v>
      </c>
      <c r="N29" s="12" t="n">
        <v>362</v>
      </c>
    </row>
    <row r="30" ht="20" customHeight="1">
      <c r="A30" s="2" t="n">
        <v>29</v>
      </c>
      <c r="B30" s="3" t="inlineStr">
        <is>
          <t>Trija Nagar + Rania</t>
        </is>
      </c>
      <c r="C30" s="3" t="inlineStr">
        <is>
          <t>ਤਰੀਜਾ ਨੰਗਰ + ਰਣੀਆ</t>
        </is>
      </c>
      <c r="D30" s="16" t="inlineStr">
        <is>
          <t>Lost Both Times (Deficit)</t>
        </is>
      </c>
      <c r="E30" s="5" t="n">
        <v>283</v>
      </c>
      <c r="F30" s="6">
        <f>283/778</f>
        <v/>
      </c>
      <c r="G30" s="7" t="inlineStr">
        <is>
          <t>INC</t>
        </is>
      </c>
      <c r="H30" s="5" t="n">
        <v>251</v>
      </c>
      <c r="I30" s="6">
        <f>251/732</f>
        <v/>
      </c>
      <c r="J30" s="7" t="inlineStr">
        <is>
          <t>INC</t>
        </is>
      </c>
      <c r="K30" s="5" t="n">
        <v>-32</v>
      </c>
      <c r="L30" s="8">
        <f>I30-F30</f>
        <v/>
      </c>
      <c r="M30" s="5" t="n">
        <v>65</v>
      </c>
      <c r="N30" s="5" t="n">
        <v>732</v>
      </c>
    </row>
    <row r="31" ht="20" customHeight="1">
      <c r="A31" s="9" t="n">
        <v>30</v>
      </c>
      <c r="B31" s="10" t="inlineStr">
        <is>
          <t>Rania</t>
        </is>
      </c>
      <c r="C31" s="10" t="inlineStr">
        <is>
          <t>ਰਣੀਆਂ</t>
        </is>
      </c>
      <c r="D31" s="18" t="inlineStr">
        <is>
          <t>Lost in 2024 (to INC)</t>
        </is>
      </c>
      <c r="E31" s="12" t="n">
        <v>224</v>
      </c>
      <c r="F31" s="13">
        <f>224/570</f>
        <v/>
      </c>
      <c r="G31" s="14" t="inlineStr">
        <is>
          <t>AAP</t>
        </is>
      </c>
      <c r="H31" s="12" t="n">
        <v>170</v>
      </c>
      <c r="I31" s="13">
        <f>170/560</f>
        <v/>
      </c>
      <c r="J31" s="14" t="inlineStr">
        <is>
          <t>INC</t>
        </is>
      </c>
      <c r="K31" s="12" t="n">
        <v>-54</v>
      </c>
      <c r="L31" s="15">
        <f>I31-F31</f>
        <v/>
      </c>
      <c r="M31" s="12" t="n">
        <v>121</v>
      </c>
      <c r="N31" s="12" t="n">
        <v>560</v>
      </c>
    </row>
    <row r="32" ht="20" customHeight="1">
      <c r="A32" s="2" t="n">
        <v>31</v>
      </c>
      <c r="B32" s="3" t="inlineStr">
        <is>
          <t>Rania</t>
        </is>
      </c>
      <c r="C32" s="3" t="inlineStr">
        <is>
          <t>ਰਣੀਆ</t>
        </is>
      </c>
      <c r="D32" s="16" t="inlineStr">
        <is>
          <t>Lost Both Times (Deficit)</t>
        </is>
      </c>
      <c r="E32" s="5" t="n">
        <v>170</v>
      </c>
      <c r="F32" s="6">
        <f>170/541</f>
        <v/>
      </c>
      <c r="G32" s="7" t="inlineStr">
        <is>
          <t>SAD</t>
        </is>
      </c>
      <c r="H32" s="5" t="n">
        <v>179</v>
      </c>
      <c r="I32" s="6">
        <f>179/537</f>
        <v/>
      </c>
      <c r="J32" s="7" t="inlineStr">
        <is>
          <t>INC</t>
        </is>
      </c>
      <c r="K32" s="5" t="n">
        <v>9</v>
      </c>
      <c r="L32" s="8">
        <f>I32-F32</f>
        <v/>
      </c>
      <c r="M32" s="5" t="n">
        <v>78</v>
      </c>
      <c r="N32" s="5" t="n">
        <v>537</v>
      </c>
    </row>
    <row r="33" ht="20" customHeight="1">
      <c r="A33" s="9" t="n">
        <v>32</v>
      </c>
      <c r="B33" s="10" t="inlineStr">
        <is>
          <t>Rania</t>
        </is>
      </c>
      <c r="C33" s="10" t="inlineStr">
        <is>
          <t>ਰਣੀਆ</t>
        </is>
      </c>
      <c r="D33" s="18" t="inlineStr">
        <is>
          <t>Lost in 2024 (to INC)</t>
        </is>
      </c>
      <c r="E33" s="12" t="n">
        <v>321</v>
      </c>
      <c r="F33" s="13">
        <f>321/725</f>
        <v/>
      </c>
      <c r="G33" s="14" t="inlineStr">
        <is>
          <t>AAP</t>
        </is>
      </c>
      <c r="H33" s="12" t="n">
        <v>246</v>
      </c>
      <c r="I33" s="13">
        <f>246/713</f>
        <v/>
      </c>
      <c r="J33" s="14" t="inlineStr">
        <is>
          <t>INC</t>
        </is>
      </c>
      <c r="K33" s="12" t="n">
        <v>-75</v>
      </c>
      <c r="L33" s="15">
        <f>I33-F33</f>
        <v/>
      </c>
      <c r="M33" s="12" t="n">
        <v>60</v>
      </c>
      <c r="N33" s="12" t="n">
        <v>713</v>
      </c>
    </row>
    <row r="34" ht="20" customHeight="1">
      <c r="A34" s="2" t="n">
        <v>33</v>
      </c>
      <c r="B34" s="3" t="inlineStr">
        <is>
          <t>Dhariwal</t>
        </is>
      </c>
      <c r="C34" s="3" t="inlineStr">
        <is>
          <t>ਧਾਰੀਵਾਲ</t>
        </is>
      </c>
      <c r="D34" s="18" t="inlineStr">
        <is>
          <t>Lost in 2024 (to BJP)</t>
        </is>
      </c>
      <c r="E34" s="5" t="n">
        <v>300</v>
      </c>
      <c r="F34" s="6">
        <f>300/774</f>
        <v/>
      </c>
      <c r="G34" s="7" t="inlineStr">
        <is>
          <t>AAP</t>
        </is>
      </c>
      <c r="H34" s="5" t="n">
        <v>175</v>
      </c>
      <c r="I34" s="6">
        <f>175/743</f>
        <v/>
      </c>
      <c r="J34" s="7" t="inlineStr">
        <is>
          <t>BJP</t>
        </is>
      </c>
      <c r="K34" s="5" t="n">
        <v>-125</v>
      </c>
      <c r="L34" s="8">
        <f>I34-F34</f>
        <v/>
      </c>
      <c r="M34" s="5" t="n">
        <v>215</v>
      </c>
      <c r="N34" s="5" t="n">
        <v>743</v>
      </c>
    </row>
    <row r="35" ht="20" customHeight="1">
      <c r="A35" s="9" t="n">
        <v>34</v>
      </c>
      <c r="B35" s="10" t="inlineStr">
        <is>
          <t>Dhariwal</t>
        </is>
      </c>
      <c r="C35" s="10" t="inlineStr">
        <is>
          <t>ਧਾਰੀਵਾਲ</t>
        </is>
      </c>
      <c r="D35" s="18" t="inlineStr">
        <is>
          <t>Lost in 2024 (to BJP)</t>
        </is>
      </c>
      <c r="E35" s="12" t="n">
        <v>328</v>
      </c>
      <c r="F35" s="13">
        <f>328/756</f>
        <v/>
      </c>
      <c r="G35" s="14" t="inlineStr">
        <is>
          <t>AAP</t>
        </is>
      </c>
      <c r="H35" s="12" t="n">
        <v>205</v>
      </c>
      <c r="I35" s="13">
        <f>205/750</f>
        <v/>
      </c>
      <c r="J35" s="14" t="inlineStr">
        <is>
          <t>BJP</t>
        </is>
      </c>
      <c r="K35" s="12" t="n">
        <v>-123</v>
      </c>
      <c r="L35" s="15">
        <f>I35-F35</f>
        <v/>
      </c>
      <c r="M35" s="12" t="n">
        <v>195</v>
      </c>
      <c r="N35" s="12" t="n">
        <v>750</v>
      </c>
    </row>
    <row r="36" ht="20" customHeight="1">
      <c r="A36" s="2" t="n">
        <v>35</v>
      </c>
      <c r="B36" s="3" t="inlineStr">
        <is>
          <t>Dhariwal</t>
        </is>
      </c>
      <c r="C36" s="3" t="inlineStr">
        <is>
          <t>ਧਾਰੀਵਾਲ</t>
        </is>
      </c>
      <c r="D36" s="18" t="inlineStr">
        <is>
          <t>Lost in 2024 (to BJP)</t>
        </is>
      </c>
      <c r="E36" s="5" t="n">
        <v>253</v>
      </c>
      <c r="F36" s="6">
        <f>253/640</f>
        <v/>
      </c>
      <c r="G36" s="7" t="inlineStr">
        <is>
          <t>AAP</t>
        </is>
      </c>
      <c r="H36" s="5" t="n">
        <v>157</v>
      </c>
      <c r="I36" s="6">
        <f>157/576</f>
        <v/>
      </c>
      <c r="J36" s="7" t="inlineStr">
        <is>
          <t>BJP</t>
        </is>
      </c>
      <c r="K36" s="5" t="n">
        <v>-96</v>
      </c>
      <c r="L36" s="8">
        <f>I36-F36</f>
        <v/>
      </c>
      <c r="M36" s="5" t="n">
        <v>80</v>
      </c>
      <c r="N36" s="5" t="n">
        <v>576</v>
      </c>
    </row>
    <row r="37" ht="20" customHeight="1">
      <c r="A37" s="9" t="n">
        <v>36</v>
      </c>
      <c r="B37" s="10" t="inlineStr">
        <is>
          <t>Dhariwal</t>
        </is>
      </c>
      <c r="C37" s="10" t="inlineStr">
        <is>
          <t>ਧਾਰੀਵਾਲ</t>
        </is>
      </c>
      <c r="D37" s="16" t="inlineStr">
        <is>
          <t>Lost Both Times (Deficit)</t>
        </is>
      </c>
      <c r="E37" s="12" t="n">
        <v>142</v>
      </c>
      <c r="F37" s="13">
        <f>142/420</f>
        <v/>
      </c>
      <c r="G37" s="14" t="inlineStr">
        <is>
          <t>INC</t>
        </is>
      </c>
      <c r="H37" s="12" t="n">
        <v>97</v>
      </c>
      <c r="I37" s="13">
        <f>97/398</f>
        <v/>
      </c>
      <c r="J37" s="14" t="inlineStr">
        <is>
          <t>BJP</t>
        </is>
      </c>
      <c r="K37" s="12" t="n">
        <v>-45</v>
      </c>
      <c r="L37" s="15">
        <f>I37-F37</f>
        <v/>
      </c>
      <c r="M37" s="12" t="n">
        <v>96</v>
      </c>
      <c r="N37" s="12" t="n">
        <v>398</v>
      </c>
    </row>
    <row r="38" ht="20" customHeight="1">
      <c r="A38" s="2" t="n">
        <v>37</v>
      </c>
      <c r="B38" s="3" t="inlineStr">
        <is>
          <t>Dhariwal</t>
        </is>
      </c>
      <c r="C38" s="3" t="inlineStr">
        <is>
          <t>ਧਾਰੀਵਾਲ</t>
        </is>
      </c>
      <c r="D38" s="18" t="inlineStr">
        <is>
          <t>Lost in 2024 (to BJP)</t>
        </is>
      </c>
      <c r="E38" s="5" t="n">
        <v>247</v>
      </c>
      <c r="F38" s="6">
        <f>247/599</f>
        <v/>
      </c>
      <c r="G38" s="7" t="inlineStr">
        <is>
          <t>AAP</t>
        </is>
      </c>
      <c r="H38" s="5" t="n">
        <v>94</v>
      </c>
      <c r="I38" s="6">
        <f>94/547</f>
        <v/>
      </c>
      <c r="J38" s="7" t="inlineStr">
        <is>
          <t>BJP</t>
        </is>
      </c>
      <c r="K38" s="5" t="n">
        <v>-153</v>
      </c>
      <c r="L38" s="8">
        <f>I38-F38</f>
        <v/>
      </c>
      <c r="M38" s="5" t="n">
        <v>233</v>
      </c>
      <c r="N38" s="5" t="n">
        <v>547</v>
      </c>
    </row>
    <row r="39" ht="20" customHeight="1">
      <c r="A39" s="9" t="n">
        <v>38</v>
      </c>
      <c r="B39" s="10" t="inlineStr">
        <is>
          <t>Dhariwal</t>
        </is>
      </c>
      <c r="C39" s="10" t="inlineStr">
        <is>
          <t>ਧਾਰੀਵਾਲ</t>
        </is>
      </c>
      <c r="D39" s="4" t="inlineStr">
        <is>
          <t>Gained in 2024 (New Win)</t>
        </is>
      </c>
      <c r="E39" s="12" t="n">
        <v>228</v>
      </c>
      <c r="F39" s="13">
        <f>228/654</f>
        <v/>
      </c>
      <c r="G39" s="14" t="inlineStr">
        <is>
          <t>INC</t>
        </is>
      </c>
      <c r="H39" s="12" t="n">
        <v>255</v>
      </c>
      <c r="I39" s="13">
        <f>255/569</f>
        <v/>
      </c>
      <c r="J39" s="14" t="inlineStr">
        <is>
          <t>AAP</t>
        </is>
      </c>
      <c r="K39" s="12" t="n">
        <v>27</v>
      </c>
      <c r="L39" s="15">
        <f>I39-F39</f>
        <v/>
      </c>
      <c r="M39" s="12" t="n">
        <v>88</v>
      </c>
      <c r="N39" s="12" t="n">
        <v>569</v>
      </c>
    </row>
    <row r="40" ht="20" customHeight="1">
      <c r="A40" s="2" t="n">
        <v>39</v>
      </c>
      <c r="B40" s="3" t="inlineStr">
        <is>
          <t>Dhariwal</t>
        </is>
      </c>
      <c r="C40" s="3" t="inlineStr">
        <is>
          <t>ਧਾਰੀਵਾਲ</t>
        </is>
      </c>
      <c r="D40" s="18" t="inlineStr">
        <is>
          <t>Lost in 2024 (to INC)</t>
        </is>
      </c>
      <c r="E40" s="5" t="n">
        <v>64</v>
      </c>
      <c r="F40" s="6">
        <f>64/203</f>
        <v/>
      </c>
      <c r="G40" s="7" t="inlineStr">
        <is>
          <t>AAP</t>
        </is>
      </c>
      <c r="H40" s="5" t="n">
        <v>29</v>
      </c>
      <c r="I40" s="6">
        <f>29/205</f>
        <v/>
      </c>
      <c r="J40" s="7" t="inlineStr">
        <is>
          <t>INC</t>
        </is>
      </c>
      <c r="K40" s="5" t="n">
        <v>-35</v>
      </c>
      <c r="L40" s="8">
        <f>I40-F40</f>
        <v/>
      </c>
      <c r="M40" s="5" t="n">
        <v>60</v>
      </c>
      <c r="N40" s="5" t="n">
        <v>205</v>
      </c>
    </row>
    <row r="41" ht="20" customHeight="1">
      <c r="A41" s="9" t="n">
        <v>40</v>
      </c>
      <c r="B41" s="10" t="inlineStr">
        <is>
          <t>Dhariwal</t>
        </is>
      </c>
      <c r="C41" s="10" t="inlineStr">
        <is>
          <t>ਧਾਰੀਵਾਲ</t>
        </is>
      </c>
      <c r="D41" s="18" t="inlineStr">
        <is>
          <t>Lost in 2024 (to INC)</t>
        </is>
      </c>
      <c r="E41" s="12" t="n">
        <v>127</v>
      </c>
      <c r="F41" s="13">
        <f>127/322</f>
        <v/>
      </c>
      <c r="G41" s="14" t="inlineStr">
        <is>
          <t>AAP</t>
        </is>
      </c>
      <c r="H41" s="12" t="n">
        <v>60</v>
      </c>
      <c r="I41" s="13">
        <f>60/277</f>
        <v/>
      </c>
      <c r="J41" s="14" t="inlineStr">
        <is>
          <t>INC</t>
        </is>
      </c>
      <c r="K41" s="12" t="n">
        <v>-67</v>
      </c>
      <c r="L41" s="15">
        <f>I41-F41</f>
        <v/>
      </c>
      <c r="M41" s="12" t="n">
        <v>103</v>
      </c>
      <c r="N41" s="12" t="n">
        <v>277</v>
      </c>
    </row>
    <row r="42" ht="20" customHeight="1">
      <c r="A42" s="2" t="n">
        <v>41</v>
      </c>
      <c r="B42" s="3" t="inlineStr">
        <is>
          <t>Dhariwal</t>
        </is>
      </c>
      <c r="C42" s="3" t="inlineStr">
        <is>
          <t>ਧਾਰੀਵਾਲ</t>
        </is>
      </c>
      <c r="D42" s="4" t="inlineStr">
        <is>
          <t>Gained in 2024 (New Win)</t>
        </is>
      </c>
      <c r="E42" s="5" t="n">
        <v>139</v>
      </c>
      <c r="F42" s="6">
        <f>139/539</f>
        <v/>
      </c>
      <c r="G42" s="7" t="inlineStr">
        <is>
          <t>SAD</t>
        </is>
      </c>
      <c r="H42" s="5" t="n">
        <v>181</v>
      </c>
      <c r="I42" s="6">
        <f>181/446</f>
        <v/>
      </c>
      <c r="J42" s="7" t="inlineStr">
        <is>
          <t>AAP</t>
        </is>
      </c>
      <c r="K42" s="5" t="n">
        <v>42</v>
      </c>
      <c r="L42" s="8">
        <f>I42-F42</f>
        <v/>
      </c>
      <c r="M42" s="5" t="n">
        <v>48</v>
      </c>
      <c r="N42" s="5" t="n">
        <v>446</v>
      </c>
    </row>
    <row r="43" ht="20" customHeight="1">
      <c r="A43" s="9" t="n">
        <v>42</v>
      </c>
      <c r="B43" s="10" t="inlineStr">
        <is>
          <t>Dhariwal</t>
        </is>
      </c>
      <c r="C43" s="10" t="inlineStr">
        <is>
          <t>ਧਾਰੀਵਾਲ</t>
        </is>
      </c>
      <c r="D43" s="16" t="inlineStr">
        <is>
          <t>Lost Both Times (Deficit)</t>
        </is>
      </c>
      <c r="E43" s="12" t="n">
        <v>213</v>
      </c>
      <c r="F43" s="13">
        <f>213/784</f>
        <v/>
      </c>
      <c r="G43" s="14" t="inlineStr">
        <is>
          <t>SAD</t>
        </is>
      </c>
      <c r="H43" s="12" t="n">
        <v>224</v>
      </c>
      <c r="I43" s="13">
        <f>224/716</f>
        <v/>
      </c>
      <c r="J43" s="14" t="inlineStr">
        <is>
          <t>INC</t>
        </is>
      </c>
      <c r="K43" s="12" t="n">
        <v>11</v>
      </c>
      <c r="L43" s="15">
        <f>I43-F43</f>
        <v/>
      </c>
      <c r="M43" s="12" t="n">
        <v>59</v>
      </c>
      <c r="N43" s="12" t="n">
        <v>716</v>
      </c>
    </row>
    <row r="44" ht="20" customHeight="1">
      <c r="A44" s="2" t="n">
        <v>43</v>
      </c>
      <c r="B44" s="3" t="inlineStr">
        <is>
          <t>Dhariwal</t>
        </is>
      </c>
      <c r="C44" s="3" t="inlineStr">
        <is>
          <t>ਧਾਰੀਵਾਲ</t>
        </is>
      </c>
      <c r="D44" s="18" t="inlineStr">
        <is>
          <t>Lost in 2024 (to BJP)</t>
        </is>
      </c>
      <c r="E44" s="5" t="n">
        <v>216</v>
      </c>
      <c r="F44" s="6">
        <f>216/600</f>
        <v/>
      </c>
      <c r="G44" s="7" t="inlineStr">
        <is>
          <t>AAP</t>
        </is>
      </c>
      <c r="H44" s="5" t="n">
        <v>115</v>
      </c>
      <c r="I44" s="6">
        <f>115/550</f>
        <v/>
      </c>
      <c r="J44" s="7" t="inlineStr">
        <is>
          <t>BJP</t>
        </is>
      </c>
      <c r="K44" s="5" t="n">
        <v>-101</v>
      </c>
      <c r="L44" s="8">
        <f>I44-F44</f>
        <v/>
      </c>
      <c r="M44" s="5" t="n">
        <v>80</v>
      </c>
      <c r="N44" s="5" t="n">
        <v>550</v>
      </c>
    </row>
    <row r="45" ht="20" customHeight="1">
      <c r="A45" s="9" t="n">
        <v>44</v>
      </c>
      <c r="B45" s="10" t="inlineStr">
        <is>
          <t>Dhariwal</t>
        </is>
      </c>
      <c r="C45" s="10" t="inlineStr">
        <is>
          <t>ਧਾਰੀਵਾਲ</t>
        </is>
      </c>
      <c r="D45" s="18" t="inlineStr">
        <is>
          <t>Lost in 2024 (to BJP)</t>
        </is>
      </c>
      <c r="E45" s="12" t="n">
        <v>164</v>
      </c>
      <c r="F45" s="13">
        <f>164/436</f>
        <v/>
      </c>
      <c r="G45" s="14" t="inlineStr">
        <is>
          <t>AAP</t>
        </is>
      </c>
      <c r="H45" s="12" t="n">
        <v>74</v>
      </c>
      <c r="I45" s="13">
        <f>74/424</f>
        <v/>
      </c>
      <c r="J45" s="14" t="inlineStr">
        <is>
          <t>BJP</t>
        </is>
      </c>
      <c r="K45" s="12" t="n">
        <v>-90</v>
      </c>
      <c r="L45" s="15">
        <f>I45-F45</f>
        <v/>
      </c>
      <c r="M45" s="12" t="n">
        <v>165</v>
      </c>
      <c r="N45" s="12" t="n">
        <v>424</v>
      </c>
    </row>
    <row r="46" ht="20" customHeight="1">
      <c r="A46" s="2" t="n">
        <v>45</v>
      </c>
      <c r="B46" s="3" t="inlineStr">
        <is>
          <t>Dhariwal</t>
        </is>
      </c>
      <c r="C46" s="3" t="inlineStr">
        <is>
          <t>ਧਾਰੀਵਾਲ</t>
        </is>
      </c>
      <c r="D46" s="18" t="inlineStr">
        <is>
          <t>Lost in 2024 (to BJP)</t>
        </is>
      </c>
      <c r="E46" s="5" t="n">
        <v>283</v>
      </c>
      <c r="F46" s="6">
        <f>283/745</f>
        <v/>
      </c>
      <c r="G46" s="7" t="inlineStr">
        <is>
          <t>AAP</t>
        </is>
      </c>
      <c r="H46" s="5" t="n">
        <v>144</v>
      </c>
      <c r="I46" s="6">
        <f>144/770</f>
        <v/>
      </c>
      <c r="J46" s="7" t="inlineStr">
        <is>
          <t>BJP</t>
        </is>
      </c>
      <c r="K46" s="5" t="n">
        <v>-139</v>
      </c>
      <c r="L46" s="8">
        <f>I46-F46</f>
        <v/>
      </c>
      <c r="M46" s="5" t="n">
        <v>159</v>
      </c>
      <c r="N46" s="5" t="n">
        <v>770</v>
      </c>
    </row>
    <row r="47" ht="20" customHeight="1">
      <c r="A47" s="9" t="n">
        <v>46</v>
      </c>
      <c r="B47" s="10" t="inlineStr">
        <is>
          <t>Dhariwal</t>
        </is>
      </c>
      <c r="C47" s="10" t="inlineStr">
        <is>
          <t>ਧਾਰੀਵਾਲ</t>
        </is>
      </c>
      <c r="D47" s="4" t="inlineStr">
        <is>
          <t>Gained in 2024 (New Win)</t>
        </is>
      </c>
      <c r="E47" s="12" t="n">
        <v>130</v>
      </c>
      <c r="F47" s="13">
        <f>130/535</f>
        <v/>
      </c>
      <c r="G47" s="14" t="inlineStr">
        <is>
          <t>SAD</t>
        </is>
      </c>
      <c r="H47" s="12" t="n">
        <v>194</v>
      </c>
      <c r="I47" s="13">
        <f>194/472</f>
        <v/>
      </c>
      <c r="J47" s="14" t="inlineStr">
        <is>
          <t>AAP</t>
        </is>
      </c>
      <c r="K47" s="12" t="n">
        <v>64</v>
      </c>
      <c r="L47" s="15">
        <f>I47-F47</f>
        <v/>
      </c>
      <c r="M47" s="12" t="n">
        <v>77</v>
      </c>
      <c r="N47" s="12" t="n">
        <v>472</v>
      </c>
    </row>
    <row r="48" ht="20" customHeight="1">
      <c r="A48" s="2" t="n">
        <v>47</v>
      </c>
      <c r="B48" s="3" t="inlineStr">
        <is>
          <t>Dhariwal</t>
        </is>
      </c>
      <c r="C48" s="3" t="inlineStr">
        <is>
          <t>ਧਾਰੀਵਾਲ</t>
        </is>
      </c>
      <c r="D48" s="18" t="inlineStr">
        <is>
          <t>Lost in 2024 (to INC)</t>
        </is>
      </c>
      <c r="E48" s="5" t="n">
        <v>303</v>
      </c>
      <c r="F48" s="6">
        <f>303/743</f>
        <v/>
      </c>
      <c r="G48" s="7" t="inlineStr">
        <is>
          <t>AAP</t>
        </is>
      </c>
      <c r="H48" s="5" t="n">
        <v>202</v>
      </c>
      <c r="I48" s="6">
        <f>202/754</f>
        <v/>
      </c>
      <c r="J48" s="7" t="inlineStr">
        <is>
          <t>INC</t>
        </is>
      </c>
      <c r="K48" s="5" t="n">
        <v>-101</v>
      </c>
      <c r="L48" s="8">
        <f>I48-F48</f>
        <v/>
      </c>
      <c r="M48" s="5" t="n">
        <v>36</v>
      </c>
      <c r="N48" s="5" t="n">
        <v>754</v>
      </c>
    </row>
    <row r="49" ht="20" customHeight="1">
      <c r="A49" s="9" t="n">
        <v>48</v>
      </c>
      <c r="B49" s="10" t="inlineStr">
        <is>
          <t>Daddwan</t>
        </is>
      </c>
      <c r="C49" s="10" t="inlineStr">
        <is>
          <t>ਡੱਡਵਾਂ</t>
        </is>
      </c>
      <c r="D49" s="4" t="inlineStr">
        <is>
          <t>Gained in 2024 (New Win)</t>
        </is>
      </c>
      <c r="E49" s="12" t="n">
        <v>215</v>
      </c>
      <c r="F49" s="13">
        <f>215/807</f>
        <v/>
      </c>
      <c r="G49" s="14" t="inlineStr">
        <is>
          <t>INC</t>
        </is>
      </c>
      <c r="H49" s="12" t="n">
        <v>305</v>
      </c>
      <c r="I49" s="13">
        <f>305/690</f>
        <v/>
      </c>
      <c r="J49" s="14" t="inlineStr">
        <is>
          <t>AAP</t>
        </is>
      </c>
      <c r="K49" s="12" t="n">
        <v>90</v>
      </c>
      <c r="L49" s="15">
        <f>I49-F49</f>
        <v/>
      </c>
      <c r="M49" s="12" t="n">
        <v>56</v>
      </c>
      <c r="N49" s="12" t="n">
        <v>690</v>
      </c>
    </row>
    <row r="50" ht="20" customHeight="1">
      <c r="A50" s="2" t="n">
        <v>49</v>
      </c>
      <c r="B50" s="3" t="inlineStr">
        <is>
          <t>Daddwan</t>
        </is>
      </c>
      <c r="C50" s="3" t="inlineStr">
        <is>
          <t>ਡੱਡਵਾਂ</t>
        </is>
      </c>
      <c r="D50" s="16" t="inlineStr">
        <is>
          <t>Lost Both Times (Deficit)</t>
        </is>
      </c>
      <c r="E50" s="5" t="n">
        <v>147</v>
      </c>
      <c r="F50" s="6">
        <f>147/761</f>
        <v/>
      </c>
      <c r="G50" s="7" t="inlineStr">
        <is>
          <t>INC</t>
        </is>
      </c>
      <c r="H50" s="5" t="n">
        <v>229</v>
      </c>
      <c r="I50" s="6">
        <f>229/645</f>
        <v/>
      </c>
      <c r="J50" s="7" t="inlineStr">
        <is>
          <t>INC</t>
        </is>
      </c>
      <c r="K50" s="5" t="n">
        <v>82</v>
      </c>
      <c r="L50" s="8">
        <f>I50-F50</f>
        <v/>
      </c>
      <c r="M50" s="5" t="n">
        <v>7</v>
      </c>
      <c r="N50" s="5" t="n">
        <v>645</v>
      </c>
    </row>
    <row r="51" ht="20" customHeight="1">
      <c r="A51" s="9" t="n">
        <v>50</v>
      </c>
      <c r="B51" s="10" t="inlineStr">
        <is>
          <t>Kang</t>
        </is>
      </c>
      <c r="C51" s="10" t="inlineStr">
        <is>
          <t>ਕੰਗ</t>
        </is>
      </c>
      <c r="D51" s="4" t="inlineStr">
        <is>
          <t>Gained in 2024 (New Win)</t>
        </is>
      </c>
      <c r="E51" s="12" t="n">
        <v>161</v>
      </c>
      <c r="F51" s="13">
        <f>161/656</f>
        <v/>
      </c>
      <c r="G51" s="14" t="inlineStr">
        <is>
          <t>INC</t>
        </is>
      </c>
      <c r="H51" s="12" t="n">
        <v>297</v>
      </c>
      <c r="I51" s="13">
        <f>297/608</f>
        <v/>
      </c>
      <c r="J51" s="14" t="inlineStr">
        <is>
          <t>AAP</t>
        </is>
      </c>
      <c r="K51" s="12" t="n">
        <v>136</v>
      </c>
      <c r="L51" s="15">
        <f>I51-F51</f>
        <v/>
      </c>
      <c r="M51" s="12" t="n">
        <v>139</v>
      </c>
      <c r="N51" s="12" t="n">
        <v>608</v>
      </c>
    </row>
    <row r="52" ht="20" customHeight="1">
      <c r="A52" s="2" t="n">
        <v>51</v>
      </c>
      <c r="B52" s="3" t="inlineStr">
        <is>
          <t>Kang</t>
        </is>
      </c>
      <c r="C52" s="3" t="inlineStr">
        <is>
          <t>ਕੰਗ</t>
        </is>
      </c>
      <c r="D52" s="4" t="inlineStr">
        <is>
          <t>Gained in 2024 (New Win)</t>
        </is>
      </c>
      <c r="E52" s="5" t="n">
        <v>100</v>
      </c>
      <c r="F52" s="6">
        <f>100/586</f>
        <v/>
      </c>
      <c r="G52" s="7" t="inlineStr">
        <is>
          <t>INC</t>
        </is>
      </c>
      <c r="H52" s="5" t="n">
        <v>270</v>
      </c>
      <c r="I52" s="6">
        <f>270/560</f>
        <v/>
      </c>
      <c r="J52" s="7" t="inlineStr">
        <is>
          <t>AAP</t>
        </is>
      </c>
      <c r="K52" s="5" t="n">
        <v>170</v>
      </c>
      <c r="L52" s="8">
        <f>I52-F52</f>
        <v/>
      </c>
      <c r="M52" s="5" t="n">
        <v>112</v>
      </c>
      <c r="N52" s="5" t="n">
        <v>560</v>
      </c>
    </row>
    <row r="53" ht="20" customHeight="1">
      <c r="A53" s="9" t="n">
        <v>52</v>
      </c>
      <c r="B53" s="10" t="inlineStr">
        <is>
          <t>Ahmedabad</t>
        </is>
      </c>
      <c r="C53" s="10" t="inlineStr">
        <is>
          <t>ਅਹਿਮਦਾਬਾਦ</t>
        </is>
      </c>
      <c r="D53" s="18" t="inlineStr">
        <is>
          <t>Lost in 2024 (to SAD)</t>
        </is>
      </c>
      <c r="E53" s="12" t="n">
        <v>459</v>
      </c>
      <c r="F53" s="13">
        <f>459/774</f>
        <v/>
      </c>
      <c r="G53" s="14" t="inlineStr">
        <is>
          <t>AAP</t>
        </is>
      </c>
      <c r="H53" s="12" t="n">
        <v>231</v>
      </c>
      <c r="I53" s="13">
        <f>231/745</f>
        <v/>
      </c>
      <c r="J53" s="14" t="inlineStr">
        <is>
          <t>SAD</t>
        </is>
      </c>
      <c r="K53" s="12" t="n">
        <v>-228</v>
      </c>
      <c r="L53" s="15">
        <f>I53-F53</f>
        <v/>
      </c>
      <c r="M53" s="12" t="n">
        <v>29</v>
      </c>
      <c r="N53" s="12" t="n">
        <v>745</v>
      </c>
    </row>
    <row r="54" ht="20" customHeight="1">
      <c r="A54" s="2" t="n">
        <v>53</v>
      </c>
      <c r="B54" s="3" t="inlineStr">
        <is>
          <t>Fateh Nangal</t>
        </is>
      </c>
      <c r="C54" s="3" t="inlineStr">
        <is>
          <t>ਫਤਿਹ ਨੰਗਲ</t>
        </is>
      </c>
      <c r="D54" s="4" t="inlineStr">
        <is>
          <t>Gained in 2024 (New Win)</t>
        </is>
      </c>
      <c r="E54" s="5" t="n">
        <v>167</v>
      </c>
      <c r="F54" s="6">
        <f>167/801</f>
        <v/>
      </c>
      <c r="G54" s="7" t="inlineStr">
        <is>
          <t>INC</t>
        </is>
      </c>
      <c r="H54" s="5" t="n">
        <v>325</v>
      </c>
      <c r="I54" s="6">
        <f>325/732</f>
        <v/>
      </c>
      <c r="J54" s="7" t="inlineStr">
        <is>
          <t>AAP</t>
        </is>
      </c>
      <c r="K54" s="5" t="n">
        <v>158</v>
      </c>
      <c r="L54" s="8">
        <f>I54-F54</f>
        <v/>
      </c>
      <c r="M54" s="5" t="n">
        <v>17</v>
      </c>
      <c r="N54" s="5" t="n">
        <v>732</v>
      </c>
    </row>
    <row r="55" ht="20" customHeight="1">
      <c r="A55" s="9" t="n">
        <v>54</v>
      </c>
      <c r="B55" s="10" t="inlineStr">
        <is>
          <t>Fateh Nangal</t>
        </is>
      </c>
      <c r="C55" s="10" t="inlineStr">
        <is>
          <t>ਫਤਿਹ ਨੰਗਲ</t>
        </is>
      </c>
      <c r="D55" s="4" t="inlineStr">
        <is>
          <t>Gained in 2024 (New Win)</t>
        </is>
      </c>
      <c r="E55" s="12" t="n">
        <v>236</v>
      </c>
      <c r="F55" s="13">
        <f>236/857</f>
        <v/>
      </c>
      <c r="G55" s="14" t="inlineStr">
        <is>
          <t>INC</t>
        </is>
      </c>
      <c r="H55" s="12" t="n">
        <v>299</v>
      </c>
      <c r="I55" s="13">
        <f>299/713</f>
        <v/>
      </c>
      <c r="J55" s="14" t="inlineStr">
        <is>
          <t>AAP</t>
        </is>
      </c>
      <c r="K55" s="12" t="n">
        <v>63</v>
      </c>
      <c r="L55" s="15">
        <f>I55-F55</f>
        <v/>
      </c>
      <c r="M55" s="12" t="n">
        <v>66</v>
      </c>
      <c r="N55" s="12" t="n">
        <v>713</v>
      </c>
    </row>
    <row r="56" ht="20" customHeight="1">
      <c r="A56" s="2" t="n">
        <v>55</v>
      </c>
      <c r="B56" s="3" t="inlineStr">
        <is>
          <t>Fajju Pura</t>
        </is>
      </c>
      <c r="C56" s="3" t="inlineStr">
        <is>
          <t>ਫੱਜੂਪੁਰਾ</t>
        </is>
      </c>
      <c r="D56" s="18" t="inlineStr">
        <is>
          <t>Lost in 2024 (to INC)</t>
        </is>
      </c>
      <c r="E56" s="5" t="n">
        <v>258</v>
      </c>
      <c r="F56" s="6">
        <f>258/729</f>
        <v/>
      </c>
      <c r="G56" s="7" t="inlineStr">
        <is>
          <t>AAP</t>
        </is>
      </c>
      <c r="H56" s="5" t="n">
        <v>200</v>
      </c>
      <c r="I56" s="6">
        <f>200/663</f>
        <v/>
      </c>
      <c r="J56" s="7" t="inlineStr">
        <is>
          <t>INC</t>
        </is>
      </c>
      <c r="K56" s="5" t="n">
        <v>-58</v>
      </c>
      <c r="L56" s="8">
        <f>I56-F56</f>
        <v/>
      </c>
      <c r="M56" s="5" t="n">
        <v>42</v>
      </c>
      <c r="N56" s="5" t="n">
        <v>663</v>
      </c>
    </row>
    <row r="57" ht="20" customHeight="1">
      <c r="A57" s="9" t="n">
        <v>56</v>
      </c>
      <c r="B57" s="10" t="inlineStr">
        <is>
          <t>Fajju Pura</t>
        </is>
      </c>
      <c r="C57" s="10" t="inlineStr">
        <is>
          <t>ਫੱਜੂਪੁਰਾ</t>
        </is>
      </c>
      <c r="D57" s="16" t="inlineStr">
        <is>
          <t>Lost Both Times (Deficit)</t>
        </is>
      </c>
      <c r="E57" s="12" t="n">
        <v>91</v>
      </c>
      <c r="F57" s="13">
        <f>91/538</f>
        <v/>
      </c>
      <c r="G57" s="14" t="inlineStr">
        <is>
          <t>SAD</t>
        </is>
      </c>
      <c r="H57" s="12" t="n">
        <v>154</v>
      </c>
      <c r="I57" s="13">
        <f>154/501</f>
        <v/>
      </c>
      <c r="J57" s="14" t="inlineStr">
        <is>
          <t>INC</t>
        </is>
      </c>
      <c r="K57" s="12" t="n">
        <v>63</v>
      </c>
      <c r="L57" s="15">
        <f>I57-F57</f>
        <v/>
      </c>
      <c r="M57" s="12" t="n">
        <v>95</v>
      </c>
      <c r="N57" s="12" t="n">
        <v>501</v>
      </c>
    </row>
    <row r="58" ht="20" customHeight="1">
      <c r="A58" s="2" t="n">
        <v>57</v>
      </c>
      <c r="B58" s="3" t="inlineStr">
        <is>
          <t>Fajju Pura</t>
        </is>
      </c>
      <c r="C58" s="3" t="inlineStr">
        <is>
          <t>ਫੱਜੂਪੁਰਾ</t>
        </is>
      </c>
      <c r="D58" s="16" t="inlineStr">
        <is>
          <t>Lost Both Times (Deficit)</t>
        </is>
      </c>
      <c r="E58" s="5" t="n">
        <v>98</v>
      </c>
      <c r="F58" s="6">
        <f>98/449</f>
        <v/>
      </c>
      <c r="G58" s="7" t="inlineStr">
        <is>
          <t>INC</t>
        </is>
      </c>
      <c r="H58" s="5" t="n">
        <v>109</v>
      </c>
      <c r="I58" s="6">
        <f>109/415</f>
        <v/>
      </c>
      <c r="J58" s="7" t="inlineStr">
        <is>
          <t>INC</t>
        </is>
      </c>
      <c r="K58" s="5" t="n">
        <v>11</v>
      </c>
      <c r="L58" s="8">
        <f>I58-F58</f>
        <v/>
      </c>
      <c r="M58" s="5" t="n">
        <v>110</v>
      </c>
      <c r="N58" s="5" t="n">
        <v>415</v>
      </c>
    </row>
    <row r="59" ht="20" customHeight="1">
      <c r="A59" s="9" t="n">
        <v>58</v>
      </c>
      <c r="B59" s="10" t="inlineStr">
        <is>
          <t>Sujanpur, Maali Samrai</t>
        </is>
      </c>
      <c r="C59" s="10" t="inlineStr">
        <is>
          <t>ਸੁਜਾਨਪੁਰ, ਮਾਲੀ ਸਮਰਾਏ</t>
        </is>
      </c>
      <c r="D59" s="4" t="inlineStr">
        <is>
          <t>Gained in 2024 (New Win)</t>
        </is>
      </c>
      <c r="E59" s="12" t="n">
        <v>198</v>
      </c>
      <c r="F59" s="13">
        <f>198/694</f>
        <v/>
      </c>
      <c r="G59" s="14" t="inlineStr">
        <is>
          <t>INC</t>
        </is>
      </c>
      <c r="H59" s="12" t="n">
        <v>197</v>
      </c>
      <c r="I59" s="13">
        <f>197/638</f>
        <v/>
      </c>
      <c r="J59" s="14" t="inlineStr">
        <is>
          <t>AAP</t>
        </is>
      </c>
      <c r="K59" s="12" t="n">
        <v>-1</v>
      </c>
      <c r="L59" s="15">
        <f>I59-F59</f>
        <v/>
      </c>
      <c r="M59" s="12" t="n">
        <v>4</v>
      </c>
      <c r="N59" s="12" t="n">
        <v>638</v>
      </c>
    </row>
    <row r="60" ht="20" customHeight="1">
      <c r="A60" s="2" t="n">
        <v>59</v>
      </c>
      <c r="B60" s="3" t="inlineStr">
        <is>
          <t>Khunda</t>
        </is>
      </c>
      <c r="C60" s="3" t="inlineStr">
        <is>
          <t>ਖੁੰਡਾ</t>
        </is>
      </c>
      <c r="D60" s="4" t="inlineStr">
        <is>
          <t>Gained in 2024 (New Win)</t>
        </is>
      </c>
      <c r="E60" s="5" t="n">
        <v>242</v>
      </c>
      <c r="F60" s="6">
        <f>242/751</f>
        <v/>
      </c>
      <c r="G60" s="7" t="inlineStr">
        <is>
          <t>SAD</t>
        </is>
      </c>
      <c r="H60" s="5" t="n">
        <v>290</v>
      </c>
      <c r="I60" s="6">
        <f>290/682</f>
        <v/>
      </c>
      <c r="J60" s="7" t="inlineStr">
        <is>
          <t>AAP</t>
        </is>
      </c>
      <c r="K60" s="5" t="n">
        <v>48</v>
      </c>
      <c r="L60" s="8">
        <f>I60-F60</f>
        <v/>
      </c>
      <c r="M60" s="5" t="n">
        <v>24</v>
      </c>
      <c r="N60" s="5" t="n">
        <v>682</v>
      </c>
    </row>
    <row r="61" ht="20" customHeight="1">
      <c r="A61" s="9" t="n">
        <v>60</v>
      </c>
      <c r="B61" s="10" t="inlineStr">
        <is>
          <t>Khunda</t>
        </is>
      </c>
      <c r="C61" s="10" t="inlineStr">
        <is>
          <t>ਖੁੰਡਾ</t>
        </is>
      </c>
      <c r="D61" s="4" t="inlineStr">
        <is>
          <t>Gained in 2024 (New Win)</t>
        </is>
      </c>
      <c r="E61" s="12" t="n">
        <v>234</v>
      </c>
      <c r="F61" s="13">
        <f>234/703</f>
        <v/>
      </c>
      <c r="G61" s="14" t="inlineStr">
        <is>
          <t>SAD</t>
        </is>
      </c>
      <c r="H61" s="12" t="n">
        <v>287</v>
      </c>
      <c r="I61" s="13">
        <f>287/602</f>
        <v/>
      </c>
      <c r="J61" s="14" t="inlineStr">
        <is>
          <t>AAP</t>
        </is>
      </c>
      <c r="K61" s="12" t="n">
        <v>53</v>
      </c>
      <c r="L61" s="15">
        <f>I61-F61</f>
        <v/>
      </c>
      <c r="M61" s="12" t="n">
        <v>72</v>
      </c>
      <c r="N61" s="12" t="n">
        <v>602</v>
      </c>
    </row>
    <row r="62" ht="20" customHeight="1">
      <c r="A62" s="2" t="n">
        <v>61</v>
      </c>
      <c r="B62" s="3" t="inlineStr">
        <is>
          <t>Khundi</t>
        </is>
      </c>
      <c r="C62" s="3" t="inlineStr">
        <is>
          <t>ਖੁੰਡੀ</t>
        </is>
      </c>
      <c r="D62" s="4" t="inlineStr">
        <is>
          <t>Gained in 2024 (New Win)</t>
        </is>
      </c>
      <c r="E62" s="5" t="n">
        <v>162</v>
      </c>
      <c r="F62" s="6">
        <f>162/692</f>
        <v/>
      </c>
      <c r="G62" s="7" t="inlineStr">
        <is>
          <t>SAD</t>
        </is>
      </c>
      <c r="H62" s="5" t="n">
        <v>365</v>
      </c>
      <c r="I62" s="6">
        <f>365/663</f>
        <v/>
      </c>
      <c r="J62" s="7" t="inlineStr">
        <is>
          <t>AAP</t>
        </is>
      </c>
      <c r="K62" s="5" t="n">
        <v>203</v>
      </c>
      <c r="L62" s="8">
        <f>I62-F62</f>
        <v/>
      </c>
      <c r="M62" s="5" t="n">
        <v>174</v>
      </c>
      <c r="N62" s="5" t="n">
        <v>663</v>
      </c>
    </row>
    <row r="63" ht="20" customHeight="1">
      <c r="A63" s="9" t="n">
        <v>62</v>
      </c>
      <c r="B63" s="10" t="inlineStr">
        <is>
          <t>Lehal</t>
        </is>
      </c>
      <c r="C63" s="10" t="inlineStr">
        <is>
          <t>ਲੇਹਲ</t>
        </is>
      </c>
      <c r="D63" s="4" t="inlineStr">
        <is>
          <t>Gained in 2024 (New Win)</t>
        </is>
      </c>
      <c r="E63" s="12" t="n">
        <v>148</v>
      </c>
      <c r="F63" s="13">
        <f>148/561</f>
        <v/>
      </c>
      <c r="G63" s="14" t="inlineStr">
        <is>
          <t>SAD</t>
        </is>
      </c>
      <c r="H63" s="12" t="n">
        <v>195</v>
      </c>
      <c r="I63" s="13">
        <f>195/483</f>
        <v/>
      </c>
      <c r="J63" s="14" t="inlineStr">
        <is>
          <t>AAP</t>
        </is>
      </c>
      <c r="K63" s="12" t="n">
        <v>47</v>
      </c>
      <c r="L63" s="15">
        <f>I63-F63</f>
        <v/>
      </c>
      <c r="M63" s="12" t="n">
        <v>24</v>
      </c>
      <c r="N63" s="12" t="n">
        <v>483</v>
      </c>
    </row>
    <row r="64" ht="20" customHeight="1">
      <c r="A64" s="2" t="n">
        <v>63</v>
      </c>
      <c r="B64" s="3" t="inlineStr">
        <is>
          <t>Lehal</t>
        </is>
      </c>
      <c r="C64" s="3" t="inlineStr">
        <is>
          <t>ਲੇਹਲ</t>
        </is>
      </c>
      <c r="D64" s="16" t="inlineStr">
        <is>
          <t>Lost Both Times (Deficit)</t>
        </is>
      </c>
      <c r="E64" s="5" t="n">
        <v>182</v>
      </c>
      <c r="F64" s="6">
        <f>182/642</f>
        <v/>
      </c>
      <c r="G64" s="7" t="inlineStr">
        <is>
          <t>INC</t>
        </is>
      </c>
      <c r="H64" s="5" t="n">
        <v>235</v>
      </c>
      <c r="I64" s="6">
        <f>235/604</f>
        <v/>
      </c>
      <c r="J64" s="7" t="inlineStr">
        <is>
          <t>INC</t>
        </is>
      </c>
      <c r="K64" s="5" t="n">
        <v>53</v>
      </c>
      <c r="L64" s="8">
        <f>I64-F64</f>
        <v/>
      </c>
      <c r="M64" s="5" t="n">
        <v>28</v>
      </c>
      <c r="N64" s="5" t="n">
        <v>604</v>
      </c>
    </row>
    <row r="65" ht="20" customHeight="1">
      <c r="A65" s="9" t="n">
        <v>64</v>
      </c>
      <c r="B65" s="10" t="inlineStr">
        <is>
          <t>Lehal</t>
        </is>
      </c>
      <c r="C65" s="10" t="inlineStr">
        <is>
          <t>ਲੇਹਲ</t>
        </is>
      </c>
      <c r="D65" s="4" t="inlineStr">
        <is>
          <t>Gained in 2024 (New Win)</t>
        </is>
      </c>
      <c r="E65" s="12" t="n">
        <v>194</v>
      </c>
      <c r="F65" s="13">
        <f>194/717</f>
        <v/>
      </c>
      <c r="G65" s="14" t="inlineStr">
        <is>
          <t>INC</t>
        </is>
      </c>
      <c r="H65" s="12" t="n">
        <v>247</v>
      </c>
      <c r="I65" s="13">
        <f>247/621</f>
        <v/>
      </c>
      <c r="J65" s="14" t="inlineStr">
        <is>
          <t>AAP</t>
        </is>
      </c>
      <c r="K65" s="12" t="n">
        <v>53</v>
      </c>
      <c r="L65" s="15">
        <f>I65-F65</f>
        <v/>
      </c>
      <c r="M65" s="12" t="n">
        <v>27</v>
      </c>
      <c r="N65" s="12" t="n">
        <v>621</v>
      </c>
    </row>
    <row r="66" ht="20" customHeight="1">
      <c r="A66" s="2" t="n">
        <v>65</v>
      </c>
      <c r="B66" s="3" t="inlineStr">
        <is>
          <t>Badoye</t>
        </is>
      </c>
      <c r="C66" s="3" t="inlineStr">
        <is>
          <t>ਬੜੋਏ</t>
        </is>
      </c>
      <c r="D66" s="4" t="inlineStr">
        <is>
          <t>Gained in 2024 (New Win)</t>
        </is>
      </c>
      <c r="E66" s="5" t="n">
        <v>123</v>
      </c>
      <c r="F66" s="6">
        <f>123/442</f>
        <v/>
      </c>
      <c r="G66" s="7" t="inlineStr">
        <is>
          <t>SAD</t>
        </is>
      </c>
      <c r="H66" s="5" t="n">
        <v>190</v>
      </c>
      <c r="I66" s="6">
        <f>190/406</f>
        <v/>
      </c>
      <c r="J66" s="7" t="inlineStr">
        <is>
          <t>AAP</t>
        </is>
      </c>
      <c r="K66" s="5" t="n">
        <v>67</v>
      </c>
      <c r="L66" s="8">
        <f>I66-F66</f>
        <v/>
      </c>
      <c r="M66" s="5" t="n">
        <v>79</v>
      </c>
      <c r="N66" s="5" t="n">
        <v>406</v>
      </c>
    </row>
    <row r="67" ht="20" customHeight="1">
      <c r="A67" s="9" t="n">
        <v>66</v>
      </c>
      <c r="B67" s="10" t="inlineStr">
        <is>
          <t>Jafarwal</t>
        </is>
      </c>
      <c r="C67" s="10" t="inlineStr">
        <is>
          <t>ਜਫਰਵਾਲ</t>
        </is>
      </c>
      <c r="D67" s="4" t="inlineStr">
        <is>
          <t>Gained in 2024 (New Win)</t>
        </is>
      </c>
      <c r="E67" s="12" t="n">
        <v>194</v>
      </c>
      <c r="F67" s="13">
        <f>194/730</f>
        <v/>
      </c>
      <c r="G67" s="14" t="inlineStr">
        <is>
          <t>SAD</t>
        </is>
      </c>
      <c r="H67" s="12" t="n">
        <v>261</v>
      </c>
      <c r="I67" s="13">
        <f>261/620</f>
        <v/>
      </c>
      <c r="J67" s="14" t="inlineStr">
        <is>
          <t>AAP</t>
        </is>
      </c>
      <c r="K67" s="12" t="n">
        <v>67</v>
      </c>
      <c r="L67" s="15">
        <f>I67-F67</f>
        <v/>
      </c>
      <c r="M67" s="12" t="n">
        <v>97</v>
      </c>
      <c r="N67" s="12" t="n">
        <v>620</v>
      </c>
    </row>
    <row r="68" ht="20" customHeight="1">
      <c r="A68" s="2" t="n">
        <v>67</v>
      </c>
      <c r="B68" s="3" t="inlineStr">
        <is>
          <t>Jafarwal</t>
        </is>
      </c>
      <c r="C68" s="3" t="inlineStr">
        <is>
          <t>ਜਫਰਵਾਲ</t>
        </is>
      </c>
      <c r="D68" s="4" t="inlineStr">
        <is>
          <t>Gained in 2024 (New Win)</t>
        </is>
      </c>
      <c r="E68" s="5" t="n">
        <v>148</v>
      </c>
      <c r="F68" s="6">
        <f>148/679</f>
        <v/>
      </c>
      <c r="G68" s="7" t="inlineStr">
        <is>
          <t>INC</t>
        </is>
      </c>
      <c r="H68" s="5" t="n">
        <v>212</v>
      </c>
      <c r="I68" s="6">
        <f>212/573</f>
        <v/>
      </c>
      <c r="J68" s="7" t="inlineStr">
        <is>
          <t>AAP</t>
        </is>
      </c>
      <c r="K68" s="5" t="n">
        <v>64</v>
      </c>
      <c r="L68" s="8">
        <f>I68-F68</f>
        <v/>
      </c>
      <c r="M68" s="5" t="n">
        <v>16</v>
      </c>
      <c r="N68" s="5" t="n">
        <v>573</v>
      </c>
    </row>
    <row r="69" ht="20" customHeight="1">
      <c r="A69" s="9" t="n">
        <v>68</v>
      </c>
      <c r="B69" s="10" t="inlineStr">
        <is>
          <t>Jafarwal</t>
        </is>
      </c>
      <c r="C69" s="10" t="inlineStr">
        <is>
          <t>ਜਫਰਵਾਲ</t>
        </is>
      </c>
      <c r="D69" s="16" t="inlineStr">
        <is>
          <t>Lost Both Times (Deficit)</t>
        </is>
      </c>
      <c r="E69" s="12" t="n">
        <v>210</v>
      </c>
      <c r="F69" s="13">
        <f>210/790</f>
        <v/>
      </c>
      <c r="G69" s="14" t="inlineStr">
        <is>
          <t>SAD</t>
        </is>
      </c>
      <c r="H69" s="12" t="n">
        <v>156</v>
      </c>
      <c r="I69" s="13">
        <f>156/570</f>
        <v/>
      </c>
      <c r="J69" s="14" t="inlineStr">
        <is>
          <t>INC</t>
        </is>
      </c>
      <c r="K69" s="12" t="n">
        <v>-54</v>
      </c>
      <c r="L69" s="15">
        <f>I69-F69</f>
        <v/>
      </c>
      <c r="M69" s="12" t="n">
        <v>60</v>
      </c>
      <c r="N69" s="12" t="n">
        <v>570</v>
      </c>
    </row>
    <row r="70" ht="20" customHeight="1">
      <c r="A70" s="2" t="n">
        <v>69</v>
      </c>
      <c r="B70" s="3" t="inlineStr">
        <is>
          <t>Sidhwan</t>
        </is>
      </c>
      <c r="C70" s="3" t="inlineStr">
        <is>
          <t>ਸਿਧਵਾਂ</t>
        </is>
      </c>
      <c r="D70" s="16" t="inlineStr">
        <is>
          <t>Lost Both Times (Deficit)</t>
        </is>
      </c>
      <c r="E70" s="5" t="n">
        <v>177</v>
      </c>
      <c r="F70" s="6">
        <f>177/514</f>
        <v/>
      </c>
      <c r="G70" s="7" t="inlineStr">
        <is>
          <t>INC</t>
        </is>
      </c>
      <c r="H70" s="5" t="n">
        <v>135</v>
      </c>
      <c r="I70" s="6">
        <f>135/483</f>
        <v/>
      </c>
      <c r="J70" s="7" t="inlineStr">
        <is>
          <t>INC</t>
        </is>
      </c>
      <c r="K70" s="5" t="n">
        <v>-42</v>
      </c>
      <c r="L70" s="8">
        <f>I70-F70</f>
        <v/>
      </c>
      <c r="M70" s="5" t="n">
        <v>37</v>
      </c>
      <c r="N70" s="5" t="n">
        <v>483</v>
      </c>
    </row>
    <row r="71" ht="20" customHeight="1">
      <c r="A71" s="9" t="n">
        <v>70</v>
      </c>
      <c r="B71" s="10" t="inlineStr">
        <is>
          <t>Mallian Fakiran</t>
        </is>
      </c>
      <c r="C71" s="10" t="inlineStr">
        <is>
          <t>ਮੱਲੀਆਂ ਫਕੀਰਾਂ</t>
        </is>
      </c>
      <c r="D71" s="16" t="inlineStr">
        <is>
          <t>Lost Both Times (Deficit)</t>
        </is>
      </c>
      <c r="E71" s="12" t="n">
        <v>184</v>
      </c>
      <c r="F71" s="13">
        <f>184/496</f>
        <v/>
      </c>
      <c r="G71" s="14" t="inlineStr">
        <is>
          <t>INC</t>
        </is>
      </c>
      <c r="H71" s="12" t="n">
        <v>156</v>
      </c>
      <c r="I71" s="13">
        <f>156/438</f>
        <v/>
      </c>
      <c r="J71" s="14" t="inlineStr">
        <is>
          <t>INC</t>
        </is>
      </c>
      <c r="K71" s="12" t="n">
        <v>-28</v>
      </c>
      <c r="L71" s="15">
        <f>I71-F71</f>
        <v/>
      </c>
      <c r="M71" s="12" t="n">
        <v>9</v>
      </c>
      <c r="N71" s="12" t="n">
        <v>438</v>
      </c>
    </row>
    <row r="72" ht="20" customHeight="1">
      <c r="A72" s="2" t="n">
        <v>71</v>
      </c>
      <c r="B72" s="3" t="inlineStr">
        <is>
          <t>Faizulla Chak</t>
        </is>
      </c>
      <c r="C72" s="3" t="inlineStr">
        <is>
          <t>ਫੈਜੁੱਲਾ ਚੱਕ</t>
        </is>
      </c>
      <c r="D72" s="17" t="inlineStr">
        <is>
          <t>Weak Booth (&lt; 20% Share)</t>
        </is>
      </c>
      <c r="E72" s="5" t="n">
        <v>256</v>
      </c>
      <c r="F72" s="6">
        <f>256/704</f>
        <v/>
      </c>
      <c r="G72" s="7" t="inlineStr">
        <is>
          <t>INC</t>
        </is>
      </c>
      <c r="H72" s="5" t="n">
        <v>104</v>
      </c>
      <c r="I72" s="6">
        <f>104/625</f>
        <v/>
      </c>
      <c r="J72" s="7" t="inlineStr">
        <is>
          <t>INC</t>
        </is>
      </c>
      <c r="K72" s="5" t="n">
        <v>-152</v>
      </c>
      <c r="L72" s="8">
        <f>I72-F72</f>
        <v/>
      </c>
      <c r="M72" s="5" t="n">
        <v>70</v>
      </c>
      <c r="N72" s="5" t="n">
        <v>625</v>
      </c>
    </row>
    <row r="73" ht="20" customHeight="1">
      <c r="A73" s="9" t="n">
        <v>72</v>
      </c>
      <c r="B73" s="10" t="inlineStr">
        <is>
          <t>Faizulla Chak</t>
        </is>
      </c>
      <c r="C73" s="10" t="inlineStr">
        <is>
          <t>ਫੈਜੁੱਲਾ ਚੱਕ</t>
        </is>
      </c>
      <c r="D73" s="4" t="inlineStr">
        <is>
          <t>Gained in 2024 (New Win)</t>
        </is>
      </c>
      <c r="E73" s="12" t="n">
        <v>127</v>
      </c>
      <c r="F73" s="13">
        <f>127/371</f>
        <v/>
      </c>
      <c r="G73" s="14" t="inlineStr">
        <is>
          <t>INC</t>
        </is>
      </c>
      <c r="H73" s="12" t="n">
        <v>123</v>
      </c>
      <c r="I73" s="13">
        <f>123/330</f>
        <v/>
      </c>
      <c r="J73" s="14" t="inlineStr">
        <is>
          <t>AAP</t>
        </is>
      </c>
      <c r="K73" s="12" t="n">
        <v>-4</v>
      </c>
      <c r="L73" s="15">
        <f>I73-F73</f>
        <v/>
      </c>
      <c r="M73" s="12" t="n">
        <v>19</v>
      </c>
      <c r="N73" s="12" t="n">
        <v>330</v>
      </c>
    </row>
    <row r="74" ht="20" customHeight="1">
      <c r="A74" s="2" t="n">
        <v>73</v>
      </c>
      <c r="B74" s="3" t="inlineStr">
        <is>
          <t>Dehriwal Daroga</t>
        </is>
      </c>
      <c r="C74" s="3" t="inlineStr">
        <is>
          <t>ਡੇਹਰੀਵਾਲ ਦਰੋਗਾ</t>
        </is>
      </c>
      <c r="D74" s="11" t="inlineStr">
        <is>
          <t>Won Both Times (Stronghold)</t>
        </is>
      </c>
      <c r="E74" s="5" t="n">
        <v>364</v>
      </c>
      <c r="F74" s="6">
        <f>364/942</f>
        <v/>
      </c>
      <c r="G74" s="7" t="inlineStr">
        <is>
          <t>AAP</t>
        </is>
      </c>
      <c r="H74" s="5" t="n">
        <v>360</v>
      </c>
      <c r="I74" s="6">
        <f>360/791</f>
        <v/>
      </c>
      <c r="J74" s="7" t="inlineStr">
        <is>
          <t>AAP</t>
        </is>
      </c>
      <c r="K74" s="5" t="n">
        <v>-4</v>
      </c>
      <c r="L74" s="8">
        <f>I74-F74</f>
        <v/>
      </c>
      <c r="M74" s="5" t="n">
        <v>133</v>
      </c>
      <c r="N74" s="5" t="n">
        <v>791</v>
      </c>
    </row>
    <row r="75" ht="20" customHeight="1">
      <c r="A75" s="9" t="n">
        <v>74</v>
      </c>
      <c r="B75" s="10" t="inlineStr">
        <is>
          <t>Dehriwal Daroga</t>
        </is>
      </c>
      <c r="C75" s="10" t="inlineStr">
        <is>
          <t>ਡੇਹਰੀਵਾਲ ਦਰੋਗਾ</t>
        </is>
      </c>
      <c r="D75" s="11" t="inlineStr">
        <is>
          <t>Won Both Times (Stronghold)</t>
        </is>
      </c>
      <c r="E75" s="12" t="n">
        <v>322</v>
      </c>
      <c r="F75" s="13">
        <f>322/871</f>
        <v/>
      </c>
      <c r="G75" s="14" t="inlineStr">
        <is>
          <t>AAP</t>
        </is>
      </c>
      <c r="H75" s="12" t="n">
        <v>267</v>
      </c>
      <c r="I75" s="13">
        <f>267/731</f>
        <v/>
      </c>
      <c r="J75" s="14" t="inlineStr">
        <is>
          <t>AAP</t>
        </is>
      </c>
      <c r="K75" s="12" t="n">
        <v>-55</v>
      </c>
      <c r="L75" s="15">
        <f>I75-F75</f>
        <v/>
      </c>
      <c r="M75" s="12" t="n">
        <v>44</v>
      </c>
      <c r="N75" s="12" t="n">
        <v>731</v>
      </c>
    </row>
    <row r="76" ht="20" customHeight="1">
      <c r="A76" s="2" t="n">
        <v>75</v>
      </c>
      <c r="B76" s="3" t="inlineStr">
        <is>
          <t>Khan Mallak</t>
        </is>
      </c>
      <c r="C76" s="3" t="inlineStr">
        <is>
          <t>ਖਾਨ ਮੱਲਕ</t>
        </is>
      </c>
      <c r="D76" s="16" t="inlineStr">
        <is>
          <t>Lost Both Times (Deficit)</t>
        </is>
      </c>
      <c r="E76" s="5" t="n">
        <v>92</v>
      </c>
      <c r="F76" s="6">
        <f>92/288</f>
        <v/>
      </c>
      <c r="G76" s="7" t="inlineStr">
        <is>
          <t>INC</t>
        </is>
      </c>
      <c r="H76" s="5" t="n">
        <v>69</v>
      </c>
      <c r="I76" s="6">
        <f>69/248</f>
        <v/>
      </c>
      <c r="J76" s="7" t="inlineStr">
        <is>
          <t>INC</t>
        </is>
      </c>
      <c r="K76" s="5" t="n">
        <v>-23</v>
      </c>
      <c r="L76" s="8">
        <f>I76-F76</f>
        <v/>
      </c>
      <c r="M76" s="5" t="n">
        <v>28</v>
      </c>
      <c r="N76" s="5" t="n">
        <v>248</v>
      </c>
    </row>
    <row r="77" ht="20" customHeight="1">
      <c r="A77" s="9" t="n">
        <v>76</v>
      </c>
      <c r="B77" s="10" t="inlineStr">
        <is>
          <t>Pasnawal</t>
        </is>
      </c>
      <c r="C77" s="10" t="inlineStr">
        <is>
          <t>ਪਸਨਾਵਾਲ</t>
        </is>
      </c>
      <c r="D77" s="16" t="inlineStr">
        <is>
          <t>Lost Both Times (Deficit)</t>
        </is>
      </c>
      <c r="E77" s="12" t="n">
        <v>225</v>
      </c>
      <c r="F77" s="13">
        <f>225/806</f>
        <v/>
      </c>
      <c r="G77" s="14" t="inlineStr">
        <is>
          <t>INC</t>
        </is>
      </c>
      <c r="H77" s="12" t="n">
        <v>254</v>
      </c>
      <c r="I77" s="13">
        <f>254/752</f>
        <v/>
      </c>
      <c r="J77" s="14" t="inlineStr">
        <is>
          <t>INC</t>
        </is>
      </c>
      <c r="K77" s="12" t="n">
        <v>29</v>
      </c>
      <c r="L77" s="15">
        <f>I77-F77</f>
        <v/>
      </c>
      <c r="M77" s="12" t="n">
        <v>107</v>
      </c>
      <c r="N77" s="12" t="n">
        <v>752</v>
      </c>
    </row>
    <row r="78" ht="20" customHeight="1">
      <c r="A78" s="2" t="n">
        <v>77</v>
      </c>
      <c r="B78" s="3" t="inlineStr">
        <is>
          <t>Pasnawal</t>
        </is>
      </c>
      <c r="C78" s="3" t="inlineStr">
        <is>
          <t>ਪਸਨਾਵਾਲ</t>
        </is>
      </c>
      <c r="D78" s="4" t="inlineStr">
        <is>
          <t>Gained in 2024 (New Win)</t>
        </is>
      </c>
      <c r="E78" s="5" t="n">
        <v>154</v>
      </c>
      <c r="F78" s="6">
        <f>154/446</f>
        <v/>
      </c>
      <c r="G78" s="7" t="inlineStr">
        <is>
          <t>SAD</t>
        </is>
      </c>
      <c r="H78" s="5" t="n">
        <v>160</v>
      </c>
      <c r="I78" s="6">
        <f>160/395</f>
        <v/>
      </c>
      <c r="J78" s="7" t="inlineStr">
        <is>
          <t>AAP</t>
        </is>
      </c>
      <c r="K78" s="5" t="n">
        <v>6</v>
      </c>
      <c r="L78" s="8">
        <f>I78-F78</f>
        <v/>
      </c>
      <c r="M78" s="5" t="n">
        <v>63</v>
      </c>
      <c r="N78" s="5" t="n">
        <v>395</v>
      </c>
    </row>
    <row r="79" ht="20" customHeight="1">
      <c r="A79" s="9" t="n">
        <v>78</v>
      </c>
      <c r="B79" s="10" t="inlineStr">
        <is>
          <t>Dhariwal Kalan</t>
        </is>
      </c>
      <c r="C79" s="10" t="inlineStr">
        <is>
          <t>ਧਾਰੀਵਾਲ ਕਲਾਂ</t>
        </is>
      </c>
      <c r="D79" s="4" t="inlineStr">
        <is>
          <t>Gained in 2024 (New Win)</t>
        </is>
      </c>
      <c r="E79" s="12" t="n">
        <v>130</v>
      </c>
      <c r="F79" s="13">
        <f>130/367</f>
        <v/>
      </c>
      <c r="G79" s="14" t="inlineStr">
        <is>
          <t>INC</t>
        </is>
      </c>
      <c r="H79" s="12" t="n">
        <v>160</v>
      </c>
      <c r="I79" s="13">
        <f>160/467</f>
        <v/>
      </c>
      <c r="J79" s="14" t="inlineStr">
        <is>
          <t>AAP</t>
        </is>
      </c>
      <c r="K79" s="12" t="n">
        <v>30</v>
      </c>
      <c r="L79" s="15">
        <f>I79-F79</f>
        <v/>
      </c>
      <c r="M79" s="12" t="n">
        <v>21</v>
      </c>
      <c r="N79" s="12" t="n">
        <v>467</v>
      </c>
    </row>
    <row r="80" ht="20" customHeight="1">
      <c r="A80" s="2" t="n">
        <v>79</v>
      </c>
      <c r="B80" s="3" t="inlineStr">
        <is>
          <t>Dhariwal Kalan</t>
        </is>
      </c>
      <c r="C80" s="3" t="inlineStr">
        <is>
          <t>ਧਾਰੀਵਾਲ ਕਲਾਂ</t>
        </is>
      </c>
      <c r="D80" s="16" t="inlineStr">
        <is>
          <t>Lost Both Times (Deficit)</t>
        </is>
      </c>
      <c r="E80" s="5" t="n">
        <v>225</v>
      </c>
      <c r="F80" s="6">
        <f>225/777</f>
        <v/>
      </c>
      <c r="G80" s="7" t="inlineStr">
        <is>
          <t>INC</t>
        </is>
      </c>
      <c r="H80" s="5" t="n">
        <v>185</v>
      </c>
      <c r="I80" s="6">
        <f>185/503</f>
        <v/>
      </c>
      <c r="J80" s="7" t="inlineStr">
        <is>
          <t>INC</t>
        </is>
      </c>
      <c r="K80" s="5" t="n">
        <v>-40</v>
      </c>
      <c r="L80" s="8">
        <f>I80-F80</f>
        <v/>
      </c>
      <c r="M80" s="5" t="n">
        <v>18</v>
      </c>
      <c r="N80" s="5" t="n">
        <v>503</v>
      </c>
    </row>
    <row r="81" ht="20" customHeight="1">
      <c r="A81" s="9" t="n">
        <v>80</v>
      </c>
      <c r="B81" s="10" t="inlineStr">
        <is>
          <t>Gill Manj</t>
        </is>
      </c>
      <c r="C81" s="10" t="inlineStr">
        <is>
          <t>ਗਿਲ ਮੰਝ</t>
        </is>
      </c>
      <c r="D81" s="16" t="inlineStr">
        <is>
          <t>Lost Both Times (Deficit)</t>
        </is>
      </c>
      <c r="E81" s="12" t="n">
        <v>190</v>
      </c>
      <c r="F81" s="13">
        <f>190/640</f>
        <v/>
      </c>
      <c r="G81" s="14" t="inlineStr">
        <is>
          <t>SAD</t>
        </is>
      </c>
      <c r="H81" s="12" t="n">
        <v>190</v>
      </c>
      <c r="I81" s="13">
        <f>190/567</f>
        <v/>
      </c>
      <c r="J81" s="14" t="inlineStr">
        <is>
          <t>INC</t>
        </is>
      </c>
      <c r="K81" s="12" t="n">
        <v>0</v>
      </c>
      <c r="L81" s="15">
        <f>I81-F81</f>
        <v/>
      </c>
      <c r="M81" s="12" t="n">
        <v>15</v>
      </c>
      <c r="N81" s="12" t="n">
        <v>567</v>
      </c>
    </row>
    <row r="82" ht="20" customHeight="1">
      <c r="A82" s="2" t="n">
        <v>81</v>
      </c>
      <c r="B82" s="3" t="inlineStr">
        <is>
          <t>Chhina Retwala</t>
        </is>
      </c>
      <c r="C82" s="3" t="inlineStr">
        <is>
          <t>ਛੀਨਾ ਰੇਤ ਵਾਲਾ</t>
        </is>
      </c>
      <c r="D82" s="4" t="inlineStr">
        <is>
          <t>Gained in 2024 (New Win)</t>
        </is>
      </c>
      <c r="E82" s="5" t="n">
        <v>104</v>
      </c>
      <c r="F82" s="6">
        <f>104/445</f>
        <v/>
      </c>
      <c r="G82" s="7" t="inlineStr">
        <is>
          <t>INC</t>
        </is>
      </c>
      <c r="H82" s="5" t="n">
        <v>210</v>
      </c>
      <c r="I82" s="6">
        <f>210/439</f>
        <v/>
      </c>
      <c r="J82" s="7" t="inlineStr">
        <is>
          <t>AAP</t>
        </is>
      </c>
      <c r="K82" s="5" t="n">
        <v>106</v>
      </c>
      <c r="L82" s="8">
        <f>I82-F82</f>
        <v/>
      </c>
      <c r="M82" s="5" t="n">
        <v>21</v>
      </c>
      <c r="N82" s="5" t="n">
        <v>439</v>
      </c>
    </row>
    <row r="83" ht="20" customHeight="1">
      <c r="A83" s="9" t="n">
        <v>82</v>
      </c>
      <c r="B83" s="10" t="inlineStr">
        <is>
          <t>Thakkar Sandhu</t>
        </is>
      </c>
      <c r="C83" s="10" t="inlineStr">
        <is>
          <t>ਠੱਕਰ ਸੰਧੂ</t>
        </is>
      </c>
      <c r="D83" s="16" t="inlineStr">
        <is>
          <t>Lost Both Times (Deficit)</t>
        </is>
      </c>
      <c r="E83" s="12" t="n">
        <v>153</v>
      </c>
      <c r="F83" s="13">
        <f>153/579</f>
        <v/>
      </c>
      <c r="G83" s="14" t="inlineStr">
        <is>
          <t>INC</t>
        </is>
      </c>
      <c r="H83" s="12" t="n">
        <v>118</v>
      </c>
      <c r="I83" s="13">
        <f>118/575</f>
        <v/>
      </c>
      <c r="J83" s="14" t="inlineStr">
        <is>
          <t>INC</t>
        </is>
      </c>
      <c r="K83" s="12" t="n">
        <v>-35</v>
      </c>
      <c r="L83" s="15">
        <f>I83-F83</f>
        <v/>
      </c>
      <c r="M83" s="12" t="n">
        <v>227</v>
      </c>
      <c r="N83" s="12" t="n">
        <v>575</v>
      </c>
    </row>
    <row r="84" ht="20" customHeight="1">
      <c r="A84" s="2" t="n">
        <v>83</v>
      </c>
      <c r="B84" s="3" t="inlineStr">
        <is>
          <t>Thakkar Sandhu</t>
        </is>
      </c>
      <c r="C84" s="3" t="inlineStr">
        <is>
          <t>ਠੱਕਰ ਸੰਧੂ</t>
        </is>
      </c>
      <c r="D84" s="16" t="inlineStr">
        <is>
          <t>Lost Both Times (Deficit)</t>
        </is>
      </c>
      <c r="E84" s="5" t="n">
        <v>128</v>
      </c>
      <c r="F84" s="6">
        <f>128/402</f>
        <v/>
      </c>
      <c r="G84" s="7" t="inlineStr">
        <is>
          <t>SAD</t>
        </is>
      </c>
      <c r="H84" s="5" t="n">
        <v>101</v>
      </c>
      <c r="I84" s="6">
        <f>101/326</f>
        <v/>
      </c>
      <c r="J84" s="7" t="inlineStr">
        <is>
          <t>INC</t>
        </is>
      </c>
      <c r="K84" s="5" t="n">
        <v>-27</v>
      </c>
      <c r="L84" s="8">
        <f>I84-F84</f>
        <v/>
      </c>
      <c r="M84" s="5" t="n">
        <v>11</v>
      </c>
      <c r="N84" s="5" t="n">
        <v>326</v>
      </c>
    </row>
    <row r="85" ht="20" customHeight="1">
      <c r="A85" s="9" t="n">
        <v>84</v>
      </c>
      <c r="B85" s="10" t="inlineStr">
        <is>
          <t>Kallu Sohal</t>
        </is>
      </c>
      <c r="C85" s="10" t="inlineStr">
        <is>
          <t>ਕੱਲੂ ਸੋਹਲ</t>
        </is>
      </c>
      <c r="D85" s="16" t="inlineStr">
        <is>
          <t>Lost Both Times (Deficit)</t>
        </is>
      </c>
      <c r="E85" s="12" t="n">
        <v>113</v>
      </c>
      <c r="F85" s="13">
        <f>113/542</f>
        <v/>
      </c>
      <c r="G85" s="14" t="inlineStr">
        <is>
          <t>INC</t>
        </is>
      </c>
      <c r="H85" s="12" t="n">
        <v>125</v>
      </c>
      <c r="I85" s="13">
        <f>125/479</f>
        <v/>
      </c>
      <c r="J85" s="14" t="inlineStr">
        <is>
          <t>INC</t>
        </is>
      </c>
      <c r="K85" s="12" t="n">
        <v>12</v>
      </c>
      <c r="L85" s="15">
        <f>I85-F85</f>
        <v/>
      </c>
      <c r="M85" s="12" t="n">
        <v>122</v>
      </c>
      <c r="N85" s="12" t="n">
        <v>479</v>
      </c>
    </row>
    <row r="86" ht="20" customHeight="1">
      <c r="A86" s="2" t="n">
        <v>85</v>
      </c>
      <c r="B86" s="3" t="inlineStr">
        <is>
          <t>Jogi Cheema + Chamiyari</t>
        </is>
      </c>
      <c r="C86" s="3" t="inlineStr">
        <is>
          <t>ਜੋਗੀ ਚੀਮਾ + ਚਮਿਆਰੀ</t>
        </is>
      </c>
      <c r="D86" s="4" t="inlineStr">
        <is>
          <t>Gained in 2024 (New Win)</t>
        </is>
      </c>
      <c r="E86" s="5" t="n">
        <v>229</v>
      </c>
      <c r="F86" s="6">
        <f>229/764</f>
        <v/>
      </c>
      <c r="G86" s="7" t="inlineStr">
        <is>
          <t>INC</t>
        </is>
      </c>
      <c r="H86" s="5" t="n">
        <v>309</v>
      </c>
      <c r="I86" s="6">
        <f>309/678</f>
        <v/>
      </c>
      <c r="J86" s="7" t="inlineStr">
        <is>
          <t>AAP</t>
        </is>
      </c>
      <c r="K86" s="5" t="n">
        <v>80</v>
      </c>
      <c r="L86" s="8">
        <f>I86-F86</f>
        <v/>
      </c>
      <c r="M86" s="5" t="n">
        <v>97</v>
      </c>
      <c r="N86" s="5" t="n">
        <v>678</v>
      </c>
    </row>
    <row r="87" ht="20" customHeight="1">
      <c r="A87" s="9" t="n">
        <v>86</v>
      </c>
      <c r="B87" s="10" t="inlineStr">
        <is>
          <t>Mallian</t>
        </is>
      </c>
      <c r="C87" s="10" t="inlineStr">
        <is>
          <t>ਮੱਲੀਆਂ</t>
        </is>
      </c>
      <c r="D87" s="4" t="inlineStr">
        <is>
          <t>Gained in 2024 (New Win)</t>
        </is>
      </c>
      <c r="E87" s="12" t="n">
        <v>96</v>
      </c>
      <c r="F87" s="13">
        <f>96/551</f>
        <v/>
      </c>
      <c r="G87" s="14" t="inlineStr">
        <is>
          <t>SAD</t>
        </is>
      </c>
      <c r="H87" s="12" t="n">
        <v>235</v>
      </c>
      <c r="I87" s="13">
        <f>235/542</f>
        <v/>
      </c>
      <c r="J87" s="14" t="inlineStr">
        <is>
          <t>AAP</t>
        </is>
      </c>
      <c r="K87" s="12" t="n">
        <v>139</v>
      </c>
      <c r="L87" s="15">
        <f>I87-F87</f>
        <v/>
      </c>
      <c r="M87" s="12" t="n">
        <v>35</v>
      </c>
      <c r="N87" s="12" t="n">
        <v>542</v>
      </c>
    </row>
    <row r="88" ht="20" customHeight="1">
      <c r="A88" s="2" t="n">
        <v>87</v>
      </c>
      <c r="B88" s="3" t="inlineStr">
        <is>
          <t>Balaggan</t>
        </is>
      </c>
      <c r="C88" s="3" t="inlineStr">
        <is>
          <t>ਬਲੱਗਣ</t>
        </is>
      </c>
      <c r="D88" s="16" t="inlineStr">
        <is>
          <t>Lost Both Times (Deficit)</t>
        </is>
      </c>
      <c r="E88" s="5" t="n">
        <v>100</v>
      </c>
      <c r="F88" s="6">
        <f>100/409</f>
        <v/>
      </c>
      <c r="G88" s="7" t="inlineStr">
        <is>
          <t>INC</t>
        </is>
      </c>
      <c r="H88" s="5" t="n">
        <v>121</v>
      </c>
      <c r="I88" s="6">
        <f>121/372</f>
        <v/>
      </c>
      <c r="J88" s="7" t="inlineStr">
        <is>
          <t>INC</t>
        </is>
      </c>
      <c r="K88" s="5" t="n">
        <v>21</v>
      </c>
      <c r="L88" s="8">
        <f>I88-F88</f>
        <v/>
      </c>
      <c r="M88" s="5" t="n">
        <v>67</v>
      </c>
      <c r="N88" s="5" t="n">
        <v>372</v>
      </c>
    </row>
    <row r="89" ht="20" customHeight="1">
      <c r="A89" s="9" t="n">
        <v>88</v>
      </c>
      <c r="B89" s="10" t="inlineStr">
        <is>
          <t>Kala Bala</t>
        </is>
      </c>
      <c r="C89" s="10" t="inlineStr">
        <is>
          <t>ਕਾਲਾ ਬਾਲਾ</t>
        </is>
      </c>
      <c r="D89" s="16" t="inlineStr">
        <is>
          <t>Lost Both Times (Deficit)</t>
        </is>
      </c>
      <c r="E89" s="12" t="n">
        <v>291</v>
      </c>
      <c r="F89" s="13">
        <f>291/861</f>
        <v/>
      </c>
      <c r="G89" s="14" t="inlineStr">
        <is>
          <t>INC</t>
        </is>
      </c>
      <c r="H89" s="12" t="n">
        <v>158</v>
      </c>
      <c r="I89" s="13">
        <f>158/774</f>
        <v/>
      </c>
      <c r="J89" s="14" t="inlineStr">
        <is>
          <t>INC</t>
        </is>
      </c>
      <c r="K89" s="12" t="n">
        <v>-133</v>
      </c>
      <c r="L89" s="15">
        <f>I89-F89</f>
        <v/>
      </c>
      <c r="M89" s="12" t="n">
        <v>216</v>
      </c>
      <c r="N89" s="12" t="n">
        <v>774</v>
      </c>
    </row>
    <row r="90" ht="20" customHeight="1">
      <c r="A90" s="2" t="n">
        <v>89</v>
      </c>
      <c r="B90" s="3" t="inlineStr">
        <is>
          <t>Kot Yograj</t>
        </is>
      </c>
      <c r="C90" s="3" t="inlineStr">
        <is>
          <t>ਕੋਟ ਯੋਗਰਾਜ</t>
        </is>
      </c>
      <c r="D90" s="17" t="inlineStr">
        <is>
          <t>Weak Booth (&lt; 20% Share)</t>
        </is>
      </c>
      <c r="E90" s="5" t="n">
        <v>137</v>
      </c>
      <c r="F90" s="6">
        <f>137/507</f>
        <v/>
      </c>
      <c r="G90" s="7" t="inlineStr">
        <is>
          <t>INC</t>
        </is>
      </c>
      <c r="H90" s="5" t="n">
        <v>77</v>
      </c>
      <c r="I90" s="6">
        <f>77/477</f>
        <v/>
      </c>
      <c r="J90" s="7" t="inlineStr">
        <is>
          <t>INC</t>
        </is>
      </c>
      <c r="K90" s="5" t="n">
        <v>-60</v>
      </c>
      <c r="L90" s="8">
        <f>I90-F90</f>
        <v/>
      </c>
      <c r="M90" s="5" t="n">
        <v>191</v>
      </c>
      <c r="N90" s="5" t="n">
        <v>477</v>
      </c>
    </row>
    <row r="91" ht="20" customHeight="1">
      <c r="A91" s="9" t="n">
        <v>90</v>
      </c>
      <c r="B91" s="10" t="inlineStr">
        <is>
          <t>Duluana</t>
        </is>
      </c>
      <c r="C91" s="10" t="inlineStr">
        <is>
          <t>ਦੁਲੂਆਣਾ</t>
        </is>
      </c>
      <c r="D91" s="11" t="inlineStr">
        <is>
          <t>Won Both Times (Stronghold)</t>
        </is>
      </c>
      <c r="E91" s="12" t="n">
        <v>189</v>
      </c>
      <c r="F91" s="13">
        <f>189/480</f>
        <v/>
      </c>
      <c r="G91" s="14" t="inlineStr">
        <is>
          <t>AAP</t>
        </is>
      </c>
      <c r="H91" s="12" t="n">
        <v>236</v>
      </c>
      <c r="I91" s="13">
        <f>236/455</f>
        <v/>
      </c>
      <c r="J91" s="14" t="inlineStr">
        <is>
          <t>AAP</t>
        </is>
      </c>
      <c r="K91" s="12" t="n">
        <v>47</v>
      </c>
      <c r="L91" s="15">
        <f>I91-F91</f>
        <v/>
      </c>
      <c r="M91" s="12" t="n">
        <v>125</v>
      </c>
      <c r="N91" s="12" t="n">
        <v>455</v>
      </c>
    </row>
    <row r="92" ht="20" customHeight="1">
      <c r="A92" s="2" t="n">
        <v>91</v>
      </c>
      <c r="B92" s="3" t="inlineStr">
        <is>
          <t>Sahaipur, Langarkot, Haveli Harni</t>
        </is>
      </c>
      <c r="C92" s="3" t="inlineStr">
        <is>
          <t>ਸਹਾਈਪੁਰ, ਲੰਗਰਕੋਟ, ਹਵੇਲੀ ਹਾਰਨੀ</t>
        </is>
      </c>
      <c r="D92" s="11" t="inlineStr">
        <is>
          <t>Won Both Times (Stronghold)</t>
        </is>
      </c>
      <c r="E92" s="5" t="n">
        <v>213</v>
      </c>
      <c r="F92" s="6">
        <f>213/604</f>
        <v/>
      </c>
      <c r="G92" s="7" t="inlineStr">
        <is>
          <t>AAP</t>
        </is>
      </c>
      <c r="H92" s="5" t="n">
        <v>283</v>
      </c>
      <c r="I92" s="6">
        <f>283/572</f>
        <v/>
      </c>
      <c r="J92" s="7" t="inlineStr">
        <is>
          <t>AAP</t>
        </is>
      </c>
      <c r="K92" s="5" t="n">
        <v>70</v>
      </c>
      <c r="L92" s="8">
        <f>I92-F92</f>
        <v/>
      </c>
      <c r="M92" s="5" t="n">
        <v>120</v>
      </c>
      <c r="N92" s="5" t="n">
        <v>572</v>
      </c>
    </row>
    <row r="93" ht="20" customHeight="1">
      <c r="A93" s="9" t="n">
        <v>92</v>
      </c>
      <c r="B93" s="10" t="inlineStr">
        <is>
          <t>Bhikari Harni, Saidpur Harni, Bhore Harni</t>
        </is>
      </c>
      <c r="C93" s="10" t="inlineStr">
        <is>
          <t>ਭਿਖਾਰੀ ਹਾਰਨੀ, ਸੈਦਪੁਰ ਹਾਰਨੀ, ਭੋਰੇ ਹਾਰਨੀ</t>
        </is>
      </c>
      <c r="D93" s="16" t="inlineStr">
        <is>
          <t>Lost Both Times (Deficit)</t>
        </is>
      </c>
      <c r="E93" s="12" t="n">
        <v>195</v>
      </c>
      <c r="F93" s="13">
        <f>195/697</f>
        <v/>
      </c>
      <c r="G93" s="14" t="inlineStr">
        <is>
          <t>INC</t>
        </is>
      </c>
      <c r="H93" s="12" t="n">
        <v>145</v>
      </c>
      <c r="I93" s="13">
        <f>145/624</f>
        <v/>
      </c>
      <c r="J93" s="14" t="inlineStr">
        <is>
          <t>INC</t>
        </is>
      </c>
      <c r="K93" s="12" t="n">
        <v>-50</v>
      </c>
      <c r="L93" s="15">
        <f>I93-F93</f>
        <v/>
      </c>
      <c r="M93" s="12" t="n">
        <v>158</v>
      </c>
      <c r="N93" s="12" t="n">
        <v>624</v>
      </c>
    </row>
    <row r="94" ht="20" customHeight="1">
      <c r="A94" s="2" t="n">
        <v>93</v>
      </c>
      <c r="B94" s="3" t="inlineStr">
        <is>
          <t>Sathiali</t>
        </is>
      </c>
      <c r="C94" s="3" t="inlineStr">
        <is>
          <t>ਸਠਿਆਲੀ</t>
        </is>
      </c>
      <c r="D94" s="16" t="inlineStr">
        <is>
          <t>Lost Both Times (Deficit)</t>
        </is>
      </c>
      <c r="E94" s="5" t="n">
        <v>158</v>
      </c>
      <c r="F94" s="6">
        <f>158/514</f>
        <v/>
      </c>
      <c r="G94" s="7" t="inlineStr">
        <is>
          <t>SAD</t>
        </is>
      </c>
      <c r="H94" s="5" t="n">
        <v>124</v>
      </c>
      <c r="I94" s="6">
        <f>124/500</f>
        <v/>
      </c>
      <c r="J94" s="7" t="inlineStr">
        <is>
          <t>INC</t>
        </is>
      </c>
      <c r="K94" s="5" t="n">
        <v>-34</v>
      </c>
      <c r="L94" s="8">
        <f>I94-F94</f>
        <v/>
      </c>
      <c r="M94" s="5" t="n">
        <v>192</v>
      </c>
      <c r="N94" s="5" t="n">
        <v>500</v>
      </c>
    </row>
    <row r="95" ht="20" customHeight="1">
      <c r="A95" s="9" t="n">
        <v>94</v>
      </c>
      <c r="B95" s="10" t="inlineStr">
        <is>
          <t>Sathiali</t>
        </is>
      </c>
      <c r="C95" s="10" t="inlineStr">
        <is>
          <t>ਸਠਿਆਲੀ</t>
        </is>
      </c>
      <c r="D95" s="4" t="inlineStr">
        <is>
          <t>Gained in 2024 (New Win)</t>
        </is>
      </c>
      <c r="E95" s="12" t="n">
        <v>131</v>
      </c>
      <c r="F95" s="13">
        <f>131/396</f>
        <v/>
      </c>
      <c r="G95" s="14" t="inlineStr">
        <is>
          <t>SAD</t>
        </is>
      </c>
      <c r="H95" s="12" t="n">
        <v>153</v>
      </c>
      <c r="I95" s="13">
        <f>153/378</f>
        <v/>
      </c>
      <c r="J95" s="14" t="inlineStr">
        <is>
          <t>AAP</t>
        </is>
      </c>
      <c r="K95" s="12" t="n">
        <v>22</v>
      </c>
      <c r="L95" s="15">
        <f>I95-F95</f>
        <v/>
      </c>
      <c r="M95" s="12" t="n">
        <v>42</v>
      </c>
      <c r="N95" s="12" t="n">
        <v>378</v>
      </c>
    </row>
    <row r="96" ht="20" customHeight="1">
      <c r="A96" s="2" t="n">
        <v>95</v>
      </c>
      <c r="B96" s="3" t="inlineStr">
        <is>
          <t>Kahnuwan</t>
        </is>
      </c>
      <c r="C96" s="3" t="inlineStr">
        <is>
          <t>ਕਾਹਨੂੰਵਾਨ</t>
        </is>
      </c>
      <c r="D96" s="4" t="inlineStr">
        <is>
          <t>Gained in 2024 (New Win)</t>
        </is>
      </c>
      <c r="E96" s="5" t="n">
        <v>145</v>
      </c>
      <c r="F96" s="6">
        <f>145/597</f>
        <v/>
      </c>
      <c r="G96" s="7" t="inlineStr">
        <is>
          <t>INC</t>
        </is>
      </c>
      <c r="H96" s="5" t="n">
        <v>214</v>
      </c>
      <c r="I96" s="6">
        <f>214/528</f>
        <v/>
      </c>
      <c r="J96" s="7" t="inlineStr">
        <is>
          <t>AAP</t>
        </is>
      </c>
      <c r="K96" s="5" t="n">
        <v>69</v>
      </c>
      <c r="L96" s="8">
        <f>I96-F96</f>
        <v/>
      </c>
      <c r="M96" s="5" t="n">
        <v>25</v>
      </c>
      <c r="N96" s="5" t="n">
        <v>528</v>
      </c>
    </row>
    <row r="97" ht="20" customHeight="1">
      <c r="A97" s="9" t="n">
        <v>96</v>
      </c>
      <c r="B97" s="10" t="inlineStr">
        <is>
          <t>Kahnuwan</t>
        </is>
      </c>
      <c r="C97" s="10" t="inlineStr">
        <is>
          <t>ਕਾਹਨੂੰਵਾਨ</t>
        </is>
      </c>
      <c r="D97" s="16" t="inlineStr">
        <is>
          <t>Lost Both Times (Deficit)</t>
        </is>
      </c>
      <c r="E97" s="12" t="n">
        <v>161</v>
      </c>
      <c r="F97" s="13">
        <f>161/560</f>
        <v/>
      </c>
      <c r="G97" s="14" t="inlineStr">
        <is>
          <t>INC</t>
        </is>
      </c>
      <c r="H97" s="12" t="n">
        <v>148</v>
      </c>
      <c r="I97" s="13">
        <f>148/510</f>
        <v/>
      </c>
      <c r="J97" s="14" t="inlineStr">
        <is>
          <t>BJP</t>
        </is>
      </c>
      <c r="K97" s="12" t="n">
        <v>-13</v>
      </c>
      <c r="L97" s="15">
        <f>I97-F97</f>
        <v/>
      </c>
      <c r="M97" s="12" t="n">
        <v>40</v>
      </c>
      <c r="N97" s="12" t="n">
        <v>510</v>
      </c>
    </row>
    <row r="98" ht="20" customHeight="1">
      <c r="A98" s="2" t="n">
        <v>97</v>
      </c>
      <c r="B98" s="3" t="inlineStr">
        <is>
          <t>Kahnuwan</t>
        </is>
      </c>
      <c r="C98" s="3" t="inlineStr">
        <is>
          <t>ਕਾਹਨੂੰਵਾਨ</t>
        </is>
      </c>
      <c r="D98" s="18" t="inlineStr">
        <is>
          <t>Lost in 2024 (to INC)</t>
        </is>
      </c>
      <c r="E98" s="5" t="n">
        <v>278</v>
      </c>
      <c r="F98" s="6">
        <f>278/716</f>
        <v/>
      </c>
      <c r="G98" s="7" t="inlineStr">
        <is>
          <t>AAP</t>
        </is>
      </c>
      <c r="H98" s="5" t="n">
        <v>175</v>
      </c>
      <c r="I98" s="6">
        <f>175/637</f>
        <v/>
      </c>
      <c r="J98" s="7" t="inlineStr">
        <is>
          <t>INC</t>
        </is>
      </c>
      <c r="K98" s="5" t="n">
        <v>-103</v>
      </c>
      <c r="L98" s="8">
        <f>I98-F98</f>
        <v/>
      </c>
      <c r="M98" s="5" t="n">
        <v>12</v>
      </c>
      <c r="N98" s="5" t="n">
        <v>637</v>
      </c>
    </row>
    <row r="99" ht="20" customHeight="1">
      <c r="A99" s="9" t="n">
        <v>98</v>
      </c>
      <c r="B99" s="10" t="inlineStr">
        <is>
          <t>Kahnuwan</t>
        </is>
      </c>
      <c r="C99" s="10" t="inlineStr">
        <is>
          <t>ਕਾਹਨੂੰਵਾਨ</t>
        </is>
      </c>
      <c r="D99" s="17" t="inlineStr">
        <is>
          <t>Weak Booth (&lt; 20% Share)</t>
        </is>
      </c>
      <c r="E99" s="12" t="n">
        <v>177</v>
      </c>
      <c r="F99" s="13">
        <f>177/791</f>
        <v/>
      </c>
      <c r="G99" s="14" t="inlineStr">
        <is>
          <t>INC</t>
        </is>
      </c>
      <c r="H99" s="12" t="n">
        <v>145</v>
      </c>
      <c r="I99" s="13">
        <f>145/794</f>
        <v/>
      </c>
      <c r="J99" s="14" t="inlineStr">
        <is>
          <t>BJP</t>
        </is>
      </c>
      <c r="K99" s="12" t="n">
        <v>-32</v>
      </c>
      <c r="L99" s="15">
        <f>I99-F99</f>
        <v/>
      </c>
      <c r="M99" s="12" t="n">
        <v>382</v>
      </c>
      <c r="N99" s="12" t="n">
        <v>794</v>
      </c>
    </row>
    <row r="100" ht="20" customHeight="1">
      <c r="A100" s="2" t="n">
        <v>99</v>
      </c>
      <c r="B100" s="3" t="inlineStr">
        <is>
          <t>Kahnuwan</t>
        </is>
      </c>
      <c r="C100" s="3" t="inlineStr">
        <is>
          <t>ਕਾਹਨੂੰਵਾਨ</t>
        </is>
      </c>
      <c r="D100" s="17" t="inlineStr">
        <is>
          <t>Weak Booth (&lt; 20% Share)</t>
        </is>
      </c>
      <c r="E100" s="5" t="n">
        <v>165</v>
      </c>
      <c r="F100" s="6">
        <f>165/562</f>
        <v/>
      </c>
      <c r="G100" s="7" t="inlineStr">
        <is>
          <t>INC</t>
        </is>
      </c>
      <c r="H100" s="5" t="n">
        <v>106</v>
      </c>
      <c r="I100" s="6">
        <f>106/544</f>
        <v/>
      </c>
      <c r="J100" s="7" t="inlineStr">
        <is>
          <t>BJP</t>
        </is>
      </c>
      <c r="K100" s="5" t="n">
        <v>-59</v>
      </c>
      <c r="L100" s="8">
        <f>I100-F100</f>
        <v/>
      </c>
      <c r="M100" s="5" t="n">
        <v>257</v>
      </c>
      <c r="N100" s="5" t="n">
        <v>544</v>
      </c>
    </row>
    <row r="101" ht="20" customHeight="1">
      <c r="A101" s="9" t="n">
        <v>100</v>
      </c>
      <c r="B101" s="10" t="inlineStr">
        <is>
          <t>Kahnuwan</t>
        </is>
      </c>
      <c r="C101" s="10" t="inlineStr">
        <is>
          <t>ਕਾਹਨੂੰਵਾਨ</t>
        </is>
      </c>
      <c r="D101" s="16" t="inlineStr">
        <is>
          <t>Lost Both Times (Deficit)</t>
        </is>
      </c>
      <c r="E101" s="12" t="n">
        <v>168</v>
      </c>
      <c r="F101" s="13">
        <f>168/501</f>
        <v/>
      </c>
      <c r="G101" s="14" t="inlineStr">
        <is>
          <t>INC</t>
        </is>
      </c>
      <c r="H101" s="12" t="n">
        <v>142</v>
      </c>
      <c r="I101" s="13">
        <f>142/439</f>
        <v/>
      </c>
      <c r="J101" s="14" t="inlineStr">
        <is>
          <t>INC</t>
        </is>
      </c>
      <c r="K101" s="12" t="n">
        <v>-26</v>
      </c>
      <c r="L101" s="15">
        <f>I101-F101</f>
        <v/>
      </c>
      <c r="M101" s="12" t="n">
        <v>27</v>
      </c>
      <c r="N101" s="12" t="n">
        <v>439</v>
      </c>
    </row>
    <row r="102" ht="20" customHeight="1">
      <c r="A102" s="2" t="n">
        <v>101</v>
      </c>
      <c r="B102" s="3" t="inlineStr">
        <is>
          <t>Kahnuwan</t>
        </is>
      </c>
      <c r="C102" s="3" t="inlineStr">
        <is>
          <t>ਕਾਹਨੂੰਵਾਨ</t>
        </is>
      </c>
      <c r="D102" s="16" t="inlineStr">
        <is>
          <t>Lost Both Times (Deficit)</t>
        </is>
      </c>
      <c r="E102" s="5" t="n">
        <v>260</v>
      </c>
      <c r="F102" s="6">
        <f>260/850</f>
        <v/>
      </c>
      <c r="G102" s="7" t="inlineStr">
        <is>
          <t>INC</t>
        </is>
      </c>
      <c r="H102" s="5" t="n">
        <v>227</v>
      </c>
      <c r="I102" s="6">
        <f>227/694</f>
        <v/>
      </c>
      <c r="J102" s="7" t="inlineStr">
        <is>
          <t>INC</t>
        </is>
      </c>
      <c r="K102" s="5" t="n">
        <v>-33</v>
      </c>
      <c r="L102" s="8">
        <f>I102-F102</f>
        <v/>
      </c>
      <c r="M102" s="5" t="n">
        <v>20</v>
      </c>
      <c r="N102" s="5" t="n">
        <v>694</v>
      </c>
    </row>
    <row r="103" ht="20" customHeight="1">
      <c r="A103" s="9" t="n">
        <v>102</v>
      </c>
      <c r="B103" s="10" t="inlineStr">
        <is>
          <t>Kahnuwan</t>
        </is>
      </c>
      <c r="C103" s="10" t="inlineStr">
        <is>
          <t>ਕਾਹਨੂੰਵਾਨ</t>
        </is>
      </c>
      <c r="D103" s="4" t="inlineStr">
        <is>
          <t>Gained in 2024 (New Win)</t>
        </is>
      </c>
      <c r="E103" s="12" t="n">
        <v>213</v>
      </c>
      <c r="F103" s="13">
        <f>213/703</f>
        <v/>
      </c>
      <c r="G103" s="14" t="inlineStr">
        <is>
          <t>INC</t>
        </is>
      </c>
      <c r="H103" s="12" t="n">
        <v>199</v>
      </c>
      <c r="I103" s="13">
        <f>199/566</f>
        <v/>
      </c>
      <c r="J103" s="14" t="inlineStr">
        <is>
          <t>AAP</t>
        </is>
      </c>
      <c r="K103" s="12" t="n">
        <v>-14</v>
      </c>
      <c r="L103" s="15">
        <f>I103-F103</f>
        <v/>
      </c>
      <c r="M103" s="12" t="n">
        <v>19</v>
      </c>
      <c r="N103" s="12" t="n">
        <v>566</v>
      </c>
    </row>
    <row r="104" ht="20" customHeight="1">
      <c r="A104" s="2" t="n">
        <v>103</v>
      </c>
      <c r="B104" s="3" t="inlineStr">
        <is>
          <t>Chhorian Bangar</t>
        </is>
      </c>
      <c r="C104" s="3" t="inlineStr">
        <is>
          <t>ਛੋੜੀਆ ਬਾਂਗਰ</t>
        </is>
      </c>
      <c r="D104" s="4" t="inlineStr">
        <is>
          <t>Gained in 2024 (New Win)</t>
        </is>
      </c>
      <c r="E104" s="5" t="n">
        <v>103</v>
      </c>
      <c r="F104" s="6">
        <f>103/307</f>
        <v/>
      </c>
      <c r="G104" s="7" t="inlineStr">
        <is>
          <t>INC</t>
        </is>
      </c>
      <c r="H104" s="5" t="n">
        <v>116</v>
      </c>
      <c r="I104" s="6">
        <f>116/268</f>
        <v/>
      </c>
      <c r="J104" s="7" t="inlineStr">
        <is>
          <t>AAP</t>
        </is>
      </c>
      <c r="K104" s="5" t="n">
        <v>13</v>
      </c>
      <c r="L104" s="8">
        <f>I104-F104</f>
        <v/>
      </c>
      <c r="M104" s="5" t="n">
        <v>11</v>
      </c>
      <c r="N104" s="5" t="n">
        <v>268</v>
      </c>
    </row>
    <row r="105" ht="20" customHeight="1">
      <c r="A105" s="9" t="n">
        <v>104</v>
      </c>
      <c r="B105" s="10" t="inlineStr">
        <is>
          <t>Kotli Siania</t>
        </is>
      </c>
      <c r="C105" s="10" t="inlineStr">
        <is>
          <t>ਕੋਟਲੀ ਸਿਆਣੀਆਂ</t>
        </is>
      </c>
      <c r="D105" s="4" t="inlineStr">
        <is>
          <t>Gained in 2024 (New Win)</t>
        </is>
      </c>
      <c r="E105" s="12" t="n">
        <v>106</v>
      </c>
      <c r="F105" s="13">
        <f>106/536</f>
        <v/>
      </c>
      <c r="G105" s="14" t="inlineStr">
        <is>
          <t>SAD</t>
        </is>
      </c>
      <c r="H105" s="12" t="n">
        <v>250</v>
      </c>
      <c r="I105" s="13">
        <f>250/484</f>
        <v/>
      </c>
      <c r="J105" s="14" t="inlineStr">
        <is>
          <t>AAP</t>
        </is>
      </c>
      <c r="K105" s="12" t="n">
        <v>144</v>
      </c>
      <c r="L105" s="15">
        <f>I105-F105</f>
        <v/>
      </c>
      <c r="M105" s="12" t="n">
        <v>117</v>
      </c>
      <c r="N105" s="12" t="n">
        <v>484</v>
      </c>
    </row>
    <row r="106" ht="20" customHeight="1">
      <c r="A106" s="2" t="n">
        <v>105</v>
      </c>
      <c r="B106" s="3" t="inlineStr">
        <is>
          <t>Kotli Siania</t>
        </is>
      </c>
      <c r="C106" s="3" t="inlineStr">
        <is>
          <t>ਕੋਟਲੀ ਸਿਆਣੀਆਂ</t>
        </is>
      </c>
      <c r="D106" s="16" t="inlineStr">
        <is>
          <t>No Polling in 2024</t>
        </is>
      </c>
      <c r="E106" s="5" t="n">
        <v>4</v>
      </c>
      <c r="F106" s="6">
        <f>4/59</f>
        <v/>
      </c>
      <c r="G106" s="7" t="inlineStr">
        <is>
          <t>SAD</t>
        </is>
      </c>
      <c r="H106" s="5" t="n">
        <v>0</v>
      </c>
      <c r="I106" s="6" t="n">
        <v>0</v>
      </c>
      <c r="J106" s="7" t="inlineStr">
        <is>
          <t>N/A</t>
        </is>
      </c>
      <c r="K106" s="5" t="n">
        <v>-4</v>
      </c>
      <c r="L106" s="8">
        <f>I106-F106</f>
        <v/>
      </c>
      <c r="M106" s="5" t="n">
        <v>0</v>
      </c>
      <c r="N106" s="5" t="n">
        <v>0</v>
      </c>
    </row>
    <row r="107" ht="20" customHeight="1">
      <c r="A107" s="9" t="n">
        <v>106</v>
      </c>
      <c r="B107" s="10" t="inlineStr">
        <is>
          <t>Saidowal Khurd</t>
        </is>
      </c>
      <c r="C107" s="10" t="inlineStr">
        <is>
          <t>ਸੈਦੋਵਾਲ ਖੁਰਦ</t>
        </is>
      </c>
      <c r="D107" s="18" t="inlineStr">
        <is>
          <t>Lost in 2024 (to INC)</t>
        </is>
      </c>
      <c r="E107" s="12" t="n">
        <v>142</v>
      </c>
      <c r="F107" s="13">
        <f>142/429</f>
        <v/>
      </c>
      <c r="G107" s="14" t="inlineStr">
        <is>
          <t>AAP</t>
        </is>
      </c>
      <c r="H107" s="12" t="n">
        <v>186</v>
      </c>
      <c r="I107" s="13">
        <f>186/625</f>
        <v/>
      </c>
      <c r="J107" s="14" t="inlineStr">
        <is>
          <t>INC</t>
        </is>
      </c>
      <c r="K107" s="12" t="n">
        <v>44</v>
      </c>
      <c r="L107" s="15">
        <f>I107-F107</f>
        <v/>
      </c>
      <c r="M107" s="12" t="n">
        <v>35</v>
      </c>
      <c r="N107" s="12" t="n">
        <v>625</v>
      </c>
    </row>
    <row r="108" ht="20" customHeight="1">
      <c r="A108" s="2" t="n">
        <v>107</v>
      </c>
      <c r="B108" s="3" t="inlineStr">
        <is>
          <t>Saidowal Khurd, Bhaini Kaniya, Chakk Abdul</t>
        </is>
      </c>
      <c r="C108" s="3" t="inlineStr">
        <is>
          <t>ਸੈਦੋਵਾਲ ਖੁਰਦ, ਭੈਣੀ ਕਾਨੀਆਂ, ਚੱਕ ਅਬਦੁਲ</t>
        </is>
      </c>
      <c r="D108" s="17" t="inlineStr">
        <is>
          <t>Weak Booth (&lt; 20% Share)</t>
        </is>
      </c>
      <c r="E108" s="5" t="n">
        <v>121</v>
      </c>
      <c r="F108" s="6">
        <f>121/490</f>
        <v/>
      </c>
      <c r="G108" s="7" t="inlineStr">
        <is>
          <t>SAD</t>
        </is>
      </c>
      <c r="H108" s="5" t="n">
        <v>29</v>
      </c>
      <c r="I108" s="6">
        <f>29/235</f>
        <v/>
      </c>
      <c r="J108" s="7" t="inlineStr">
        <is>
          <t>BJP</t>
        </is>
      </c>
      <c r="K108" s="5" t="n">
        <v>-92</v>
      </c>
      <c r="L108" s="8">
        <f>I108-F108</f>
        <v/>
      </c>
      <c r="M108" s="5" t="n">
        <v>48</v>
      </c>
      <c r="N108" s="5" t="n">
        <v>235</v>
      </c>
    </row>
    <row r="109" ht="20" customHeight="1">
      <c r="A109" s="9" t="n">
        <v>108</v>
      </c>
      <c r="B109" s="10" t="inlineStr">
        <is>
          <t>Darapur, Jangal</t>
        </is>
      </c>
      <c r="C109" s="10" t="inlineStr">
        <is>
          <t>ਦਾਰਾਪੁਰ, ਜੰਗਲ</t>
        </is>
      </c>
      <c r="D109" s="4" t="inlineStr">
        <is>
          <t>Gained in 2024 (New Win)</t>
        </is>
      </c>
      <c r="E109" s="12" t="n">
        <v>345</v>
      </c>
      <c r="F109" s="13">
        <f>345/910</f>
        <v/>
      </c>
      <c r="G109" s="14" t="inlineStr">
        <is>
          <t>INC</t>
        </is>
      </c>
      <c r="H109" s="12" t="n">
        <v>306</v>
      </c>
      <c r="I109" s="13">
        <f>306/826</f>
        <v/>
      </c>
      <c r="J109" s="14" t="inlineStr">
        <is>
          <t>AAP</t>
        </is>
      </c>
      <c r="K109" s="12" t="n">
        <v>-39</v>
      </c>
      <c r="L109" s="15">
        <f>I109-F109</f>
        <v/>
      </c>
      <c r="M109" s="12" t="n">
        <v>26</v>
      </c>
      <c r="N109" s="12" t="n">
        <v>826</v>
      </c>
    </row>
    <row r="110" ht="20" customHeight="1">
      <c r="A110" s="2" t="n">
        <v>109</v>
      </c>
      <c r="B110" s="3" t="inlineStr">
        <is>
          <t>Gulepur, Gargarian</t>
        </is>
      </c>
      <c r="C110" s="3" t="inlineStr">
        <is>
          <t>ਗੁਲੇਪੁਰ, ਗਾਰਗੜੀਆਂ</t>
        </is>
      </c>
      <c r="D110" s="16" t="inlineStr">
        <is>
          <t>Lost Both Times (Deficit)</t>
        </is>
      </c>
      <c r="E110" s="5" t="n">
        <v>78</v>
      </c>
      <c r="F110" s="6">
        <f>78/527</f>
        <v/>
      </c>
      <c r="G110" s="7" t="inlineStr">
        <is>
          <t>SAD</t>
        </is>
      </c>
      <c r="H110" s="5" t="n">
        <v>118</v>
      </c>
      <c r="I110" s="6">
        <f>118/495</f>
        <v/>
      </c>
      <c r="J110" s="7" t="inlineStr">
        <is>
          <t>INC</t>
        </is>
      </c>
      <c r="K110" s="5" t="n">
        <v>40</v>
      </c>
      <c r="L110" s="8">
        <f>I110-F110</f>
        <v/>
      </c>
      <c r="M110" s="5" t="n">
        <v>89</v>
      </c>
      <c r="N110" s="5" t="n">
        <v>495</v>
      </c>
    </row>
    <row r="111" ht="20" customHeight="1">
      <c r="A111" s="9" t="n">
        <v>110</v>
      </c>
      <c r="B111" s="10" t="inlineStr">
        <is>
          <t>Gulepur</t>
        </is>
      </c>
      <c r="C111" s="10" t="inlineStr">
        <is>
          <t>ਗੁਲੇਪੁਰ</t>
        </is>
      </c>
      <c r="D111" s="17" t="inlineStr">
        <is>
          <t>Weak Booth (&lt; 20% Share)</t>
        </is>
      </c>
      <c r="E111" s="12" t="n">
        <v>127</v>
      </c>
      <c r="F111" s="13">
        <f>127/615</f>
        <v/>
      </c>
      <c r="G111" s="14" t="inlineStr">
        <is>
          <t>INC</t>
        </is>
      </c>
      <c r="H111" s="12" t="n">
        <v>85</v>
      </c>
      <c r="I111" s="13">
        <f>85/570</f>
        <v/>
      </c>
      <c r="J111" s="14" t="inlineStr">
        <is>
          <t>INC</t>
        </is>
      </c>
      <c r="K111" s="12" t="n">
        <v>-42</v>
      </c>
      <c r="L111" s="15">
        <f>I111-F111</f>
        <v/>
      </c>
      <c r="M111" s="12" t="n">
        <v>167</v>
      </c>
      <c r="N111" s="12" t="n">
        <v>570</v>
      </c>
    </row>
    <row r="112" ht="20" customHeight="1">
      <c r="A112" s="2" t="n">
        <v>111</v>
      </c>
      <c r="B112" s="3" t="inlineStr">
        <is>
          <t>Jagowal Bet</t>
        </is>
      </c>
      <c r="C112" s="3" t="inlineStr">
        <is>
          <t>ਜਾਗੋਵਾਲ ਬੇਟ</t>
        </is>
      </c>
      <c r="D112" s="4" t="inlineStr">
        <is>
          <t>Gained in 2024 (New Win)</t>
        </is>
      </c>
      <c r="E112" s="5" t="n">
        <v>192</v>
      </c>
      <c r="F112" s="6">
        <f>192/604</f>
        <v/>
      </c>
      <c r="G112" s="7" t="inlineStr">
        <is>
          <t>SAD</t>
        </is>
      </c>
      <c r="H112" s="5" t="n">
        <v>235</v>
      </c>
      <c r="I112" s="6">
        <f>235/596</f>
        <v/>
      </c>
      <c r="J112" s="7" t="inlineStr">
        <is>
          <t>AAP</t>
        </is>
      </c>
      <c r="K112" s="5" t="n">
        <v>43</v>
      </c>
      <c r="L112" s="8">
        <f>I112-F112</f>
        <v/>
      </c>
      <c r="M112" s="5" t="n">
        <v>63</v>
      </c>
      <c r="N112" s="5" t="n">
        <v>596</v>
      </c>
    </row>
    <row r="113" ht="20" customHeight="1">
      <c r="A113" s="9" t="n">
        <v>112</v>
      </c>
      <c r="B113" s="10" t="inlineStr">
        <is>
          <t>Jagowal Bet, Jaati Sarai, Bhuriya Gujran</t>
        </is>
      </c>
      <c r="C113" s="10" t="inlineStr">
        <is>
          <t>ਜਾਗੋਵਾਲ ਬੇਟ, ਜਾਤੀ ਸਰਾਏ, ਭੂਰੀਆ ਗੁਜਰਾਂ</t>
        </is>
      </c>
      <c r="D113" s="16" t="inlineStr">
        <is>
          <t>Lost Both Times (Deficit)</t>
        </is>
      </c>
      <c r="E113" s="12" t="n">
        <v>138</v>
      </c>
      <c r="F113" s="13">
        <f>138/506</f>
        <v/>
      </c>
      <c r="G113" s="14" t="inlineStr">
        <is>
          <t>INC</t>
        </is>
      </c>
      <c r="H113" s="12" t="n">
        <v>124</v>
      </c>
      <c r="I113" s="13">
        <f>124/433</f>
        <v/>
      </c>
      <c r="J113" s="14" t="inlineStr">
        <is>
          <t>INC</t>
        </is>
      </c>
      <c r="K113" s="12" t="n">
        <v>-14</v>
      </c>
      <c r="L113" s="15">
        <f>I113-F113</f>
        <v/>
      </c>
      <c r="M113" s="12" t="n">
        <v>28</v>
      </c>
      <c r="N113" s="12" t="n">
        <v>433</v>
      </c>
    </row>
    <row r="114" ht="20" customHeight="1">
      <c r="A114" s="2" t="n">
        <v>113</v>
      </c>
      <c r="B114" s="3" t="inlineStr">
        <is>
          <t>Bhaini Paswal</t>
        </is>
      </c>
      <c r="C114" s="3" t="inlineStr">
        <is>
          <t>ਭੈਣੀ ਪਸਵਾਲ</t>
        </is>
      </c>
      <c r="D114" s="11" t="inlineStr">
        <is>
          <t>Won Both Times (Stronghold)</t>
        </is>
      </c>
      <c r="E114" s="5" t="n">
        <v>279</v>
      </c>
      <c r="F114" s="6">
        <f>279/793</f>
        <v/>
      </c>
      <c r="G114" s="7" t="inlineStr">
        <is>
          <t>AAP</t>
        </is>
      </c>
      <c r="H114" s="5" t="n">
        <v>260</v>
      </c>
      <c r="I114" s="6">
        <f>260/678</f>
        <v/>
      </c>
      <c r="J114" s="7" t="inlineStr">
        <is>
          <t>AAP</t>
        </is>
      </c>
      <c r="K114" s="5" t="n">
        <v>-19</v>
      </c>
      <c r="L114" s="8">
        <f>I114-F114</f>
        <v/>
      </c>
      <c r="M114" s="5" t="n">
        <v>67</v>
      </c>
      <c r="N114" s="5" t="n">
        <v>678</v>
      </c>
    </row>
    <row r="115" ht="20" customHeight="1">
      <c r="A115" s="9" t="n">
        <v>114</v>
      </c>
      <c r="B115" s="10" t="inlineStr">
        <is>
          <t>Bhaini Paswal, Randhawa Colony</t>
        </is>
      </c>
      <c r="C115" s="10" t="inlineStr">
        <is>
          <t>ਭੈਣੀ ਪਸਵਾਲ, ਰੰਧਾਵਾ ਕਲੋਨੀ</t>
        </is>
      </c>
      <c r="D115" s="4" t="inlineStr">
        <is>
          <t>Gained in 2024 (New Win)</t>
        </is>
      </c>
      <c r="E115" s="12" t="n">
        <v>80</v>
      </c>
      <c r="F115" s="13">
        <f>80/465</f>
        <v/>
      </c>
      <c r="G115" s="14" t="inlineStr">
        <is>
          <t>SAD</t>
        </is>
      </c>
      <c r="H115" s="12" t="n">
        <v>168</v>
      </c>
      <c r="I115" s="13">
        <f>168/400</f>
        <v/>
      </c>
      <c r="J115" s="14" t="inlineStr">
        <is>
          <t>AAP</t>
        </is>
      </c>
      <c r="K115" s="12" t="n">
        <v>88</v>
      </c>
      <c r="L115" s="15">
        <f>I115-F115</f>
        <v/>
      </c>
      <c r="M115" s="12" t="n">
        <v>81</v>
      </c>
      <c r="N115" s="12" t="n">
        <v>400</v>
      </c>
    </row>
    <row r="116" ht="20" customHeight="1">
      <c r="A116" s="2" t="n">
        <v>115</v>
      </c>
      <c r="B116" s="3" t="inlineStr">
        <is>
          <t>Kishanpur, Kathana, Yodhe</t>
        </is>
      </c>
      <c r="C116" s="3" t="inlineStr">
        <is>
          <t>ਕਿਸ਼ਨਪੁਰ, ਕਠਾਣਾ, ਯੋਧੇ</t>
        </is>
      </c>
      <c r="D116" s="4" t="inlineStr">
        <is>
          <t>Gained in 2024 (New Win)</t>
        </is>
      </c>
      <c r="E116" s="5" t="n">
        <v>223</v>
      </c>
      <c r="F116" s="6">
        <f>223/728</f>
        <v/>
      </c>
      <c r="G116" s="7" t="inlineStr">
        <is>
          <t>INC</t>
        </is>
      </c>
      <c r="H116" s="5" t="n">
        <v>373</v>
      </c>
      <c r="I116" s="6">
        <f>373/666</f>
        <v/>
      </c>
      <c r="J116" s="7" t="inlineStr">
        <is>
          <t>AAP</t>
        </is>
      </c>
      <c r="K116" s="5" t="n">
        <v>150</v>
      </c>
      <c r="L116" s="8">
        <f>I116-F116</f>
        <v/>
      </c>
      <c r="M116" s="5" t="n">
        <v>159</v>
      </c>
      <c r="N116" s="5" t="n">
        <v>666</v>
      </c>
    </row>
    <row r="117" ht="20" customHeight="1">
      <c r="A117" s="9" t="n">
        <v>116</v>
      </c>
      <c r="B117" s="10" t="inlineStr">
        <is>
          <t>Munan Kalan</t>
        </is>
      </c>
      <c r="C117" s="10" t="inlineStr">
        <is>
          <t>ਮੰਨਣ ਕਲਾਂ</t>
        </is>
      </c>
      <c r="D117" s="4" t="inlineStr">
        <is>
          <t>Gained in 2024 (New Win)</t>
        </is>
      </c>
      <c r="E117" s="12" t="n">
        <v>94</v>
      </c>
      <c r="F117" s="13">
        <f>94/371</f>
        <v/>
      </c>
      <c r="G117" s="14" t="inlineStr">
        <is>
          <t>INC</t>
        </is>
      </c>
      <c r="H117" s="12" t="n">
        <v>224</v>
      </c>
      <c r="I117" s="13">
        <f>224/368</f>
        <v/>
      </c>
      <c r="J117" s="14" t="inlineStr">
        <is>
          <t>AAP</t>
        </is>
      </c>
      <c r="K117" s="12" t="n">
        <v>130</v>
      </c>
      <c r="L117" s="15">
        <f>I117-F117</f>
        <v/>
      </c>
      <c r="M117" s="12" t="n">
        <v>143</v>
      </c>
      <c r="N117" s="12" t="n">
        <v>368</v>
      </c>
    </row>
    <row r="118" ht="20" customHeight="1">
      <c r="A118" s="2" t="n">
        <v>117</v>
      </c>
      <c r="B118" s="3" t="inlineStr">
        <is>
          <t>Bujarh</t>
        </is>
      </c>
      <c r="C118" s="3" t="inlineStr">
        <is>
          <t>ਬੁਜਾੜ</t>
        </is>
      </c>
      <c r="D118" s="4" t="inlineStr">
        <is>
          <t>Gained in 2024 (New Win)</t>
        </is>
      </c>
      <c r="E118" s="5" t="n">
        <v>74</v>
      </c>
      <c r="F118" s="6">
        <f>74/313</f>
        <v/>
      </c>
      <c r="G118" s="7" t="inlineStr">
        <is>
          <t>INC</t>
        </is>
      </c>
      <c r="H118" s="5" t="n">
        <v>98</v>
      </c>
      <c r="I118" s="6">
        <f>98/280</f>
        <v/>
      </c>
      <c r="J118" s="7" t="inlineStr">
        <is>
          <t>AAP</t>
        </is>
      </c>
      <c r="K118" s="5" t="n">
        <v>24</v>
      </c>
      <c r="L118" s="8">
        <f>I118-F118</f>
        <v/>
      </c>
      <c r="M118" s="5" t="n">
        <v>2</v>
      </c>
      <c r="N118" s="5" t="n">
        <v>280</v>
      </c>
    </row>
    <row r="119" ht="20" customHeight="1">
      <c r="A119" s="9" t="n">
        <v>118</v>
      </c>
      <c r="B119" s="10" t="inlineStr">
        <is>
          <t>Baruhia Molian, Piro Nangal, Sarwarpur, Bhulripur, Bhum</t>
        </is>
      </c>
      <c r="C119" s="10" t="inlineStr">
        <is>
          <t>ਬਰੂਹੀਆ ਮੋਲੀਆਂ, ਪੀਰੋ ਨੰਗਲ, ਸਰਵਰਪੁਰ, ਭੁਲੜੀਪੁਰ, ਭੂਮ</t>
        </is>
      </c>
      <c r="D119" s="16" t="inlineStr">
        <is>
          <t>Lost Both Times (Deficit)</t>
        </is>
      </c>
      <c r="E119" s="12" t="n">
        <v>107</v>
      </c>
      <c r="F119" s="13">
        <f>107/643</f>
        <v/>
      </c>
      <c r="G119" s="14" t="inlineStr">
        <is>
          <t>INC</t>
        </is>
      </c>
      <c r="H119" s="12" t="n">
        <v>141</v>
      </c>
      <c r="I119" s="13">
        <f>141/557</f>
        <v/>
      </c>
      <c r="J119" s="14" t="inlineStr">
        <is>
          <t>INC</t>
        </is>
      </c>
      <c r="K119" s="12" t="n">
        <v>34</v>
      </c>
      <c r="L119" s="15">
        <f>I119-F119</f>
        <v/>
      </c>
      <c r="M119" s="12" t="n">
        <v>117</v>
      </c>
      <c r="N119" s="12" t="n">
        <v>557</v>
      </c>
    </row>
    <row r="120" ht="20" customHeight="1">
      <c r="A120" s="2" t="n">
        <v>119</v>
      </c>
      <c r="B120" s="3" t="inlineStr">
        <is>
          <t>Chak Sharif</t>
        </is>
      </c>
      <c r="C120" s="3" t="inlineStr">
        <is>
          <t>ਚੱਕ ਸਰੀਫ</t>
        </is>
      </c>
      <c r="D120" s="11" t="inlineStr">
        <is>
          <t>Won Both Times (Stronghold)</t>
        </is>
      </c>
      <c r="E120" s="5" t="n">
        <v>189</v>
      </c>
      <c r="F120" s="6">
        <f>189/580</f>
        <v/>
      </c>
      <c r="G120" s="7" t="inlineStr">
        <is>
          <t>AAP</t>
        </is>
      </c>
      <c r="H120" s="5" t="n">
        <v>274</v>
      </c>
      <c r="I120" s="6">
        <f>274/542</f>
        <v/>
      </c>
      <c r="J120" s="7" t="inlineStr">
        <is>
          <t>AAP</t>
        </is>
      </c>
      <c r="K120" s="5" t="n">
        <v>85</v>
      </c>
      <c r="L120" s="8">
        <f>I120-F120</f>
        <v/>
      </c>
      <c r="M120" s="5" t="n">
        <v>141</v>
      </c>
      <c r="N120" s="5" t="n">
        <v>542</v>
      </c>
    </row>
    <row r="121" ht="20" customHeight="1">
      <c r="A121" s="9" t="n">
        <v>120</v>
      </c>
      <c r="B121" s="10" t="inlineStr">
        <is>
          <t>Chak Sharif</t>
        </is>
      </c>
      <c r="C121" s="10" t="inlineStr">
        <is>
          <t>ਚੱਕ ਸਰੀਫ</t>
        </is>
      </c>
      <c r="D121" s="4" t="inlineStr">
        <is>
          <t>Gained in 2024 (New Win)</t>
        </is>
      </c>
      <c r="E121" s="12" t="n">
        <v>132</v>
      </c>
      <c r="F121" s="13">
        <f>132/559</f>
        <v/>
      </c>
      <c r="G121" s="14" t="inlineStr">
        <is>
          <t>INC</t>
        </is>
      </c>
      <c r="H121" s="12" t="n">
        <v>238</v>
      </c>
      <c r="I121" s="13">
        <f>238/494</f>
        <v/>
      </c>
      <c r="J121" s="14" t="inlineStr">
        <is>
          <t>AAP</t>
        </is>
      </c>
      <c r="K121" s="12" t="n">
        <v>106</v>
      </c>
      <c r="L121" s="15">
        <f>I121-F121</f>
        <v/>
      </c>
      <c r="M121" s="12" t="n">
        <v>82</v>
      </c>
      <c r="N121" s="12" t="n">
        <v>494</v>
      </c>
    </row>
    <row r="122" ht="20" customHeight="1">
      <c r="A122" s="2" t="n">
        <v>121</v>
      </c>
      <c r="B122" s="3" t="inlineStr">
        <is>
          <t>Kotla Gujran, Jhanda Gujran</t>
        </is>
      </c>
      <c r="C122" s="3" t="inlineStr">
        <is>
          <t>ਕੋਟਲਾ ਗੁਜਰਾਂ, ਝੰਡਾ ਗੁਜਰਾਂ</t>
        </is>
      </c>
      <c r="D122" s="16" t="inlineStr">
        <is>
          <t>Lost Both Times (Deficit)</t>
        </is>
      </c>
      <c r="E122" s="5" t="n">
        <v>95</v>
      </c>
      <c r="F122" s="6">
        <f>95/318</f>
        <v/>
      </c>
      <c r="G122" s="7" t="inlineStr">
        <is>
          <t>INC</t>
        </is>
      </c>
      <c r="H122" s="5" t="n">
        <v>79</v>
      </c>
      <c r="I122" s="6">
        <f>79/322</f>
        <v/>
      </c>
      <c r="J122" s="7" t="inlineStr">
        <is>
          <t>BJP</t>
        </is>
      </c>
      <c r="K122" s="5" t="n">
        <v>-16</v>
      </c>
      <c r="L122" s="8">
        <f>I122-F122</f>
        <v/>
      </c>
      <c r="M122" s="5" t="n">
        <v>92</v>
      </c>
      <c r="N122" s="5" t="n">
        <v>322</v>
      </c>
    </row>
    <row r="123" ht="20" customHeight="1">
      <c r="A123" s="9" t="n">
        <v>122</v>
      </c>
      <c r="B123" s="10" t="inlineStr">
        <is>
          <t>Sallopur</t>
        </is>
      </c>
      <c r="C123" s="10" t="inlineStr">
        <is>
          <t>ਸੱਲੋਪੁਰ</t>
        </is>
      </c>
      <c r="D123" s="16" t="inlineStr">
        <is>
          <t>Lost Both Times (Deficit)</t>
        </is>
      </c>
      <c r="E123" s="12" t="n">
        <v>141</v>
      </c>
      <c r="F123" s="13">
        <f>141/636</f>
        <v/>
      </c>
      <c r="G123" s="14" t="inlineStr">
        <is>
          <t>INC</t>
        </is>
      </c>
      <c r="H123" s="12" t="n">
        <v>160</v>
      </c>
      <c r="I123" s="13">
        <f>160/521</f>
        <v/>
      </c>
      <c r="J123" s="14" t="inlineStr">
        <is>
          <t>INC</t>
        </is>
      </c>
      <c r="K123" s="12" t="n">
        <v>19</v>
      </c>
      <c r="L123" s="15">
        <f>I123-F123</f>
        <v/>
      </c>
      <c r="M123" s="12" t="n">
        <v>82</v>
      </c>
      <c r="N123" s="12" t="n">
        <v>521</v>
      </c>
    </row>
    <row r="124" ht="20" customHeight="1">
      <c r="A124" s="2" t="n">
        <v>123</v>
      </c>
      <c r="B124" s="3" t="inlineStr">
        <is>
          <t>Sallopur</t>
        </is>
      </c>
      <c r="C124" s="3" t="inlineStr">
        <is>
          <t>ਸੱਲੋਪੁਰ</t>
        </is>
      </c>
      <c r="D124" s="4" t="inlineStr">
        <is>
          <t>Gained in 2024 (New Win)</t>
        </is>
      </c>
      <c r="E124" s="5" t="n">
        <v>89</v>
      </c>
      <c r="F124" s="6">
        <f>89/333</f>
        <v/>
      </c>
      <c r="G124" s="7" t="inlineStr">
        <is>
          <t>INC</t>
        </is>
      </c>
      <c r="H124" s="5" t="n">
        <v>150</v>
      </c>
      <c r="I124" s="6">
        <f>150/340</f>
        <v/>
      </c>
      <c r="J124" s="7" t="inlineStr">
        <is>
          <t>AAP</t>
        </is>
      </c>
      <c r="K124" s="5" t="n">
        <v>61</v>
      </c>
      <c r="L124" s="8">
        <f>I124-F124</f>
        <v/>
      </c>
      <c r="M124" s="5" t="n">
        <v>29</v>
      </c>
      <c r="N124" s="5" t="n">
        <v>340</v>
      </c>
    </row>
    <row r="125" ht="20" customHeight="1">
      <c r="A125" s="9" t="n">
        <v>124</v>
      </c>
      <c r="B125" s="10" t="inlineStr">
        <is>
          <t>Kotli Garhwan</t>
        </is>
      </c>
      <c r="C125" s="10" t="inlineStr">
        <is>
          <t>ਕੋਟਲੀ ਗਰਲਵਾਂ</t>
        </is>
      </c>
      <c r="D125" s="16" t="inlineStr">
        <is>
          <t>Lost Both Times (Deficit)</t>
        </is>
      </c>
      <c r="E125" s="12" t="n">
        <v>66</v>
      </c>
      <c r="F125" s="13">
        <f>66/271</f>
        <v/>
      </c>
      <c r="G125" s="14" t="inlineStr">
        <is>
          <t>INC</t>
        </is>
      </c>
      <c r="H125" s="12" t="n">
        <v>69</v>
      </c>
      <c r="I125" s="13">
        <f>69/268</f>
        <v/>
      </c>
      <c r="J125" s="14" t="inlineStr">
        <is>
          <t>BJP</t>
        </is>
      </c>
      <c r="K125" s="12" t="n">
        <v>3</v>
      </c>
      <c r="L125" s="15">
        <f>I125-F125</f>
        <v/>
      </c>
      <c r="M125" s="12" t="n">
        <v>46</v>
      </c>
      <c r="N125" s="12" t="n">
        <v>268</v>
      </c>
    </row>
    <row r="126" ht="20" customHeight="1">
      <c r="A126" s="2" t="n">
        <v>125</v>
      </c>
      <c r="B126" s="3" t="inlineStr">
        <is>
          <t>Chak Yakub</t>
        </is>
      </c>
      <c r="C126" s="3" t="inlineStr">
        <is>
          <t>ਚੱਕ ਯਾਕੂਬ</t>
        </is>
      </c>
      <c r="D126" s="4" t="inlineStr">
        <is>
          <t>Gained in 2024 (New Win)</t>
        </is>
      </c>
      <c r="E126" s="5" t="n">
        <v>116</v>
      </c>
      <c r="F126" s="6">
        <f>116/474</f>
        <v/>
      </c>
      <c r="G126" s="7" t="inlineStr">
        <is>
          <t>INC</t>
        </is>
      </c>
      <c r="H126" s="5" t="n">
        <v>164</v>
      </c>
      <c r="I126" s="6">
        <f>164/451</f>
        <v/>
      </c>
      <c r="J126" s="7" t="inlineStr">
        <is>
          <t>AAP</t>
        </is>
      </c>
      <c r="K126" s="5" t="n">
        <v>48</v>
      </c>
      <c r="L126" s="8">
        <f>I126-F126</f>
        <v/>
      </c>
      <c r="M126" s="5" t="n">
        <v>2</v>
      </c>
      <c r="N126" s="5" t="n">
        <v>451</v>
      </c>
    </row>
    <row r="127" ht="20" customHeight="1">
      <c r="A127" s="9" t="n">
        <v>126</v>
      </c>
      <c r="B127" s="10" t="inlineStr">
        <is>
          <t>Ladhupur</t>
        </is>
      </c>
      <c r="C127" s="10" t="inlineStr">
        <is>
          <t>ਲਾਧੂਪੁਰ</t>
        </is>
      </c>
      <c r="D127" s="4" t="inlineStr">
        <is>
          <t>Gained in 2024 (New Win)</t>
        </is>
      </c>
      <c r="E127" s="12" t="n">
        <v>128</v>
      </c>
      <c r="F127" s="13">
        <f>128/705</f>
        <v/>
      </c>
      <c r="G127" s="14" t="inlineStr">
        <is>
          <t>SAD</t>
        </is>
      </c>
      <c r="H127" s="12" t="n">
        <v>388</v>
      </c>
      <c r="I127" s="13">
        <f>388/642</f>
        <v/>
      </c>
      <c r="J127" s="14" t="inlineStr">
        <is>
          <t>AAP</t>
        </is>
      </c>
      <c r="K127" s="12" t="n">
        <v>260</v>
      </c>
      <c r="L127" s="15">
        <f>I127-F127</f>
        <v/>
      </c>
      <c r="M127" s="12" t="n">
        <v>225</v>
      </c>
      <c r="N127" s="12" t="n">
        <v>642</v>
      </c>
    </row>
    <row r="128" ht="20" customHeight="1">
      <c r="A128" s="2" t="n">
        <v>127</v>
      </c>
      <c r="B128" s="3" t="inlineStr">
        <is>
          <t>Nainekot</t>
        </is>
      </c>
      <c r="C128" s="3" t="inlineStr">
        <is>
          <t>ਨੈਨੇਕੋਟ</t>
        </is>
      </c>
      <c r="D128" s="16" t="inlineStr">
        <is>
          <t>Lost Both Times (Deficit)</t>
        </is>
      </c>
      <c r="E128" s="5" t="n">
        <v>143</v>
      </c>
      <c r="F128" s="6">
        <f>143/754</f>
        <v/>
      </c>
      <c r="G128" s="7" t="inlineStr">
        <is>
          <t>INC</t>
        </is>
      </c>
      <c r="H128" s="5" t="n">
        <v>200</v>
      </c>
      <c r="I128" s="6">
        <f>200/706</f>
        <v/>
      </c>
      <c r="J128" s="7" t="inlineStr">
        <is>
          <t>INC</t>
        </is>
      </c>
      <c r="K128" s="5" t="n">
        <v>57</v>
      </c>
      <c r="L128" s="8">
        <f>I128-F128</f>
        <v/>
      </c>
      <c r="M128" s="5" t="n">
        <v>98</v>
      </c>
      <c r="N128" s="5" t="n">
        <v>706</v>
      </c>
    </row>
    <row r="129" ht="20" customHeight="1">
      <c r="A129" s="9" t="n">
        <v>128</v>
      </c>
      <c r="B129" s="10" t="inlineStr">
        <is>
          <t>Dhesian</t>
        </is>
      </c>
      <c r="C129" s="10" t="inlineStr">
        <is>
          <t>ਢੇਸੀਆਂ</t>
        </is>
      </c>
      <c r="D129" s="16" t="inlineStr">
        <is>
          <t>Lost Both Times (Deficit)</t>
        </is>
      </c>
      <c r="E129" s="12" t="n">
        <v>104</v>
      </c>
      <c r="F129" s="13">
        <f>104/389</f>
        <v/>
      </c>
      <c r="G129" s="14" t="inlineStr">
        <is>
          <t>INC</t>
        </is>
      </c>
      <c r="H129" s="12" t="n">
        <v>121</v>
      </c>
      <c r="I129" s="13">
        <f>121/371</f>
        <v/>
      </c>
      <c r="J129" s="14" t="inlineStr">
        <is>
          <t>INC</t>
        </is>
      </c>
      <c r="K129" s="12" t="n">
        <v>17</v>
      </c>
      <c r="L129" s="15">
        <f>I129-F129</f>
        <v/>
      </c>
      <c r="M129" s="12" t="n">
        <v>44</v>
      </c>
      <c r="N129" s="12" t="n">
        <v>371</v>
      </c>
    </row>
    <row r="130" ht="20" customHeight="1">
      <c r="A130" s="2" t="n">
        <v>129</v>
      </c>
      <c r="B130" s="3" t="inlineStr">
        <is>
          <t>Raowal</t>
        </is>
      </c>
      <c r="C130" s="3" t="inlineStr">
        <is>
          <t>ਰਾਓਵਾਲ</t>
        </is>
      </c>
      <c r="D130" s="4" t="inlineStr">
        <is>
          <t>Gained in 2024 (New Win)</t>
        </is>
      </c>
      <c r="E130" s="5" t="n">
        <v>86</v>
      </c>
      <c r="F130" s="6">
        <f>86/343</f>
        <v/>
      </c>
      <c r="G130" s="7" t="inlineStr">
        <is>
          <t>INC</t>
        </is>
      </c>
      <c r="H130" s="5" t="n">
        <v>171</v>
      </c>
      <c r="I130" s="6">
        <f>171/347</f>
        <v/>
      </c>
      <c r="J130" s="7" t="inlineStr">
        <is>
          <t>AAP</t>
        </is>
      </c>
      <c r="K130" s="5" t="n">
        <v>85</v>
      </c>
      <c r="L130" s="8">
        <f>I130-F130</f>
        <v/>
      </c>
      <c r="M130" s="5" t="n">
        <v>34</v>
      </c>
      <c r="N130" s="5" t="n">
        <v>347</v>
      </c>
    </row>
    <row r="131" ht="20" customHeight="1">
      <c r="A131" s="9" t="n">
        <v>130</v>
      </c>
      <c r="B131" s="10" t="inlineStr">
        <is>
          <t>Nimane</t>
        </is>
      </c>
      <c r="C131" s="10" t="inlineStr">
        <is>
          <t>ਨਿਮਾਣੇ</t>
        </is>
      </c>
      <c r="D131" s="11" t="inlineStr">
        <is>
          <t>Won Both Times (Stronghold)</t>
        </is>
      </c>
      <c r="E131" s="12" t="n">
        <v>210</v>
      </c>
      <c r="F131" s="13">
        <f>210/524</f>
        <v/>
      </c>
      <c r="G131" s="14" t="inlineStr">
        <is>
          <t>AAP</t>
        </is>
      </c>
      <c r="H131" s="12" t="n">
        <v>246</v>
      </c>
      <c r="I131" s="13">
        <f>246/478</f>
        <v/>
      </c>
      <c r="J131" s="14" t="inlineStr">
        <is>
          <t>AAP</t>
        </is>
      </c>
      <c r="K131" s="12" t="n">
        <v>36</v>
      </c>
      <c r="L131" s="15">
        <f>I131-F131</f>
        <v/>
      </c>
      <c r="M131" s="12" t="n">
        <v>104</v>
      </c>
      <c r="N131" s="12" t="n">
        <v>478</v>
      </c>
    </row>
    <row r="132" ht="20" customHeight="1">
      <c r="A132" s="2" t="n">
        <v>131</v>
      </c>
      <c r="B132" s="3" t="inlineStr">
        <is>
          <t>Kot Dhandal</t>
        </is>
      </c>
      <c r="C132" s="3" t="inlineStr">
        <is>
          <t>ਕੋਟ ਧੰਦਲ</t>
        </is>
      </c>
      <c r="D132" s="4" t="inlineStr">
        <is>
          <t>Gained in 2024 (New Win)</t>
        </is>
      </c>
      <c r="E132" s="5" t="n">
        <v>210</v>
      </c>
      <c r="F132" s="6">
        <f>210/668</f>
        <v/>
      </c>
      <c r="G132" s="7" t="inlineStr">
        <is>
          <t>INC</t>
        </is>
      </c>
      <c r="H132" s="5" t="n">
        <v>204</v>
      </c>
      <c r="I132" s="6">
        <f>204/578</f>
        <v/>
      </c>
      <c r="J132" s="7" t="inlineStr">
        <is>
          <t>AAP</t>
        </is>
      </c>
      <c r="K132" s="5" t="n">
        <v>-6</v>
      </c>
      <c r="L132" s="8">
        <f>I132-F132</f>
        <v/>
      </c>
      <c r="M132" s="5" t="n">
        <v>22</v>
      </c>
      <c r="N132" s="5" t="n">
        <v>578</v>
      </c>
    </row>
    <row r="133" ht="20" customHeight="1">
      <c r="A133" s="9" t="n">
        <v>132</v>
      </c>
      <c r="B133" s="10" t="inlineStr">
        <is>
          <t>Bhittewadd</t>
        </is>
      </c>
      <c r="C133" s="10" t="inlineStr">
        <is>
          <t>ਭਿਟੇਵੱਡ</t>
        </is>
      </c>
      <c r="D133" s="17" t="inlineStr">
        <is>
          <t>Weak Booth (&lt; 20% Share)</t>
        </is>
      </c>
      <c r="E133" s="12" t="n">
        <v>110</v>
      </c>
      <c r="F133" s="13">
        <f>110/446</f>
        <v/>
      </c>
      <c r="G133" s="14" t="inlineStr">
        <is>
          <t>INC</t>
        </is>
      </c>
      <c r="H133" s="12" t="n">
        <v>31</v>
      </c>
      <c r="I133" s="13">
        <f>31/408</f>
        <v/>
      </c>
      <c r="J133" s="14" t="inlineStr">
        <is>
          <t>INC</t>
        </is>
      </c>
      <c r="K133" s="12" t="n">
        <v>-79</v>
      </c>
      <c r="L133" s="15">
        <f>I133-F133</f>
        <v/>
      </c>
      <c r="M133" s="12" t="n">
        <v>294</v>
      </c>
      <c r="N133" s="12" t="n">
        <v>408</v>
      </c>
    </row>
    <row r="134" ht="20" customHeight="1">
      <c r="A134" s="2" t="n">
        <v>133</v>
      </c>
      <c r="B134" s="3" t="inlineStr">
        <is>
          <t>Kot Todar Mal</t>
        </is>
      </c>
      <c r="C134" s="3" t="inlineStr">
        <is>
          <t>ਕੋਟ ਟੋਡਰ ਮੱਲ</t>
        </is>
      </c>
      <c r="D134" s="18" t="inlineStr">
        <is>
          <t>Lost in 2024 (to INC)</t>
        </is>
      </c>
      <c r="E134" s="5" t="n">
        <v>216</v>
      </c>
      <c r="F134" s="6">
        <f>216/560</f>
        <v/>
      </c>
      <c r="G134" s="7" t="inlineStr">
        <is>
          <t>AAP</t>
        </is>
      </c>
      <c r="H134" s="5" t="n">
        <v>160</v>
      </c>
      <c r="I134" s="6">
        <f>160/550</f>
        <v/>
      </c>
      <c r="J134" s="7" t="inlineStr">
        <is>
          <t>INC</t>
        </is>
      </c>
      <c r="K134" s="5" t="n">
        <v>-56</v>
      </c>
      <c r="L134" s="8">
        <f>I134-F134</f>
        <v/>
      </c>
      <c r="M134" s="5" t="n">
        <v>59</v>
      </c>
      <c r="N134" s="5" t="n">
        <v>550</v>
      </c>
    </row>
    <row r="135" ht="20" customHeight="1">
      <c r="A135" s="9" t="n">
        <v>134</v>
      </c>
      <c r="B135" s="10" t="inlineStr">
        <is>
          <t>Kot Todar Mal</t>
        </is>
      </c>
      <c r="C135" s="10" t="inlineStr">
        <is>
          <t>ਕੋਟ ਟੋਡਰ ਮੱਲ</t>
        </is>
      </c>
      <c r="D135" s="16" t="inlineStr">
        <is>
          <t>Lost Both Times (Deficit)</t>
        </is>
      </c>
      <c r="E135" s="12" t="n">
        <v>161</v>
      </c>
      <c r="F135" s="13">
        <f>161/488</f>
        <v/>
      </c>
      <c r="G135" s="14" t="inlineStr">
        <is>
          <t>INC</t>
        </is>
      </c>
      <c r="H135" s="12" t="n">
        <v>104</v>
      </c>
      <c r="I135" s="13">
        <f>104/443</f>
        <v/>
      </c>
      <c r="J135" s="14" t="inlineStr">
        <is>
          <t>INC</t>
        </is>
      </c>
      <c r="K135" s="12" t="n">
        <v>-57</v>
      </c>
      <c r="L135" s="15">
        <f>I135-F135</f>
        <v/>
      </c>
      <c r="M135" s="12" t="n">
        <v>105</v>
      </c>
      <c r="N135" s="12" t="n">
        <v>443</v>
      </c>
    </row>
    <row r="136" ht="20" customHeight="1">
      <c r="A136" s="2" t="n">
        <v>135</v>
      </c>
      <c r="B136" s="3" t="inlineStr">
        <is>
          <t>Rooda Buttar</t>
        </is>
      </c>
      <c r="C136" s="3" t="inlineStr">
        <is>
          <t>ਰੂੜਾ ਬੁੱਟਰ</t>
        </is>
      </c>
      <c r="D136" s="4" t="inlineStr">
        <is>
          <t>Gained in 2024 (New Win)</t>
        </is>
      </c>
      <c r="E136" s="5" t="n">
        <v>191</v>
      </c>
      <c r="F136" s="6">
        <f>191/585</f>
        <v/>
      </c>
      <c r="G136" s="7" t="inlineStr">
        <is>
          <t>INC</t>
        </is>
      </c>
      <c r="H136" s="5" t="n">
        <v>228</v>
      </c>
      <c r="I136" s="6">
        <f>228/539</f>
        <v/>
      </c>
      <c r="J136" s="7" t="inlineStr">
        <is>
          <t>AAP</t>
        </is>
      </c>
      <c r="K136" s="5" t="n">
        <v>37</v>
      </c>
      <c r="L136" s="8">
        <f>I136-F136</f>
        <v/>
      </c>
      <c r="M136" s="5" t="n">
        <v>87</v>
      </c>
      <c r="N136" s="5" t="n">
        <v>539</v>
      </c>
    </row>
    <row r="137" ht="20" customHeight="1">
      <c r="A137" s="9" t="n">
        <v>136</v>
      </c>
      <c r="B137" s="10" t="inlineStr">
        <is>
          <t>Malian</t>
        </is>
      </c>
      <c r="C137" s="10" t="inlineStr">
        <is>
          <t>ਮਾਲੀਆਂ</t>
        </is>
      </c>
      <c r="D137" s="16" t="inlineStr">
        <is>
          <t>Lost Both Times (Deficit)</t>
        </is>
      </c>
      <c r="E137" s="12" t="n">
        <v>88</v>
      </c>
      <c r="F137" s="13">
        <f>88/483</f>
        <v/>
      </c>
      <c r="G137" s="14" t="inlineStr">
        <is>
          <t>INC</t>
        </is>
      </c>
      <c r="H137" s="12" t="n">
        <v>175</v>
      </c>
      <c r="I137" s="13">
        <f>175/471</f>
        <v/>
      </c>
      <c r="J137" s="14" t="inlineStr">
        <is>
          <t>INC</t>
        </is>
      </c>
      <c r="K137" s="12" t="n">
        <v>87</v>
      </c>
      <c r="L137" s="15">
        <f>I137-F137</f>
        <v/>
      </c>
      <c r="M137" s="12" t="n">
        <v>61</v>
      </c>
      <c r="N137" s="12" t="n">
        <v>471</v>
      </c>
    </row>
    <row r="138" ht="20" customHeight="1">
      <c r="A138" s="2" t="n">
        <v>137</v>
      </c>
      <c r="B138" s="3" t="inlineStr">
        <is>
          <t>Khara</t>
        </is>
      </c>
      <c r="C138" s="3" t="inlineStr">
        <is>
          <t>ਖਾਰਾ</t>
        </is>
      </c>
      <c r="D138" s="16" t="inlineStr">
        <is>
          <t>Lost Both Times (Deficit)</t>
        </is>
      </c>
      <c r="E138" s="5" t="n">
        <v>206</v>
      </c>
      <c r="F138" s="6">
        <f>206/544</f>
        <v/>
      </c>
      <c r="G138" s="7" t="inlineStr">
        <is>
          <t>INC</t>
        </is>
      </c>
      <c r="H138" s="5" t="n">
        <v>134</v>
      </c>
      <c r="I138" s="6">
        <f>134/463</f>
        <v/>
      </c>
      <c r="J138" s="7" t="inlineStr">
        <is>
          <t>INC</t>
        </is>
      </c>
      <c r="K138" s="5" t="n">
        <v>-72</v>
      </c>
      <c r="L138" s="8">
        <f>I138-F138</f>
        <v/>
      </c>
      <c r="M138" s="5" t="n">
        <v>28</v>
      </c>
      <c r="N138" s="5" t="n">
        <v>463</v>
      </c>
    </row>
    <row r="139" ht="20" customHeight="1">
      <c r="A139" s="9" t="n">
        <v>138</v>
      </c>
      <c r="B139" s="10" t="inlineStr">
        <is>
          <t>Waraich</t>
        </is>
      </c>
      <c r="C139" s="10" t="inlineStr">
        <is>
          <t>ਵੜੈਚ</t>
        </is>
      </c>
      <c r="D139" s="4" t="inlineStr">
        <is>
          <t>Gained in 2024 (New Win)</t>
        </is>
      </c>
      <c r="E139" s="12" t="n">
        <v>228</v>
      </c>
      <c r="F139" s="13">
        <f>228/746</f>
        <v/>
      </c>
      <c r="G139" s="14" t="inlineStr">
        <is>
          <t>INC</t>
        </is>
      </c>
      <c r="H139" s="12" t="n">
        <v>298</v>
      </c>
      <c r="I139" s="13">
        <f>298/714</f>
        <v/>
      </c>
      <c r="J139" s="14" t="inlineStr">
        <is>
          <t>AAP</t>
        </is>
      </c>
      <c r="K139" s="12" t="n">
        <v>70</v>
      </c>
      <c r="L139" s="15">
        <f>I139-F139</f>
        <v/>
      </c>
      <c r="M139" s="12" t="n">
        <v>24</v>
      </c>
      <c r="N139" s="12" t="n">
        <v>714</v>
      </c>
    </row>
    <row r="140" ht="20" customHeight="1">
      <c r="A140" s="2" t="n">
        <v>139</v>
      </c>
      <c r="B140" s="3" t="inlineStr">
        <is>
          <t>Qadian Ward No. 4</t>
        </is>
      </c>
      <c r="C140" s="3" t="inlineStr">
        <is>
          <t>ਕਾਦੀਆਂ ਵਾਰਡ ਨੰ. 4</t>
        </is>
      </c>
      <c r="D140" s="16" t="inlineStr">
        <is>
          <t>Lost Both Times (Deficit)</t>
        </is>
      </c>
      <c r="E140" s="5" t="n">
        <v>158</v>
      </c>
      <c r="F140" s="6">
        <f>158/513</f>
        <v/>
      </c>
      <c r="G140" s="7" t="inlineStr">
        <is>
          <t>SAD</t>
        </is>
      </c>
      <c r="H140" s="5" t="n">
        <v>118</v>
      </c>
      <c r="I140" s="6">
        <f>118/399</f>
        <v/>
      </c>
      <c r="J140" s="7" t="inlineStr">
        <is>
          <t>INC</t>
        </is>
      </c>
      <c r="K140" s="5" t="n">
        <v>-40</v>
      </c>
      <c r="L140" s="8">
        <f>I140-F140</f>
        <v/>
      </c>
      <c r="M140" s="5" t="n">
        <v>32</v>
      </c>
      <c r="N140" s="5" t="n">
        <v>399</v>
      </c>
    </row>
    <row r="141" ht="20" customHeight="1">
      <c r="A141" s="9" t="n">
        <v>140</v>
      </c>
      <c r="B141" s="10" t="inlineStr">
        <is>
          <t>Qadian Ward No. 2</t>
        </is>
      </c>
      <c r="C141" s="10" t="inlineStr">
        <is>
          <t>ਕਾਦੀਆਂ ਵਾਰਡ ਨੰ. 2</t>
        </is>
      </c>
      <c r="D141" s="17" t="inlineStr">
        <is>
          <t>Weak Booth (&lt; 20% Share)</t>
        </is>
      </c>
      <c r="E141" s="12" t="n">
        <v>211</v>
      </c>
      <c r="F141" s="13">
        <f>211/605</f>
        <v/>
      </c>
      <c r="G141" s="14" t="inlineStr">
        <is>
          <t>INC</t>
        </is>
      </c>
      <c r="H141" s="12" t="n">
        <v>106</v>
      </c>
      <c r="I141" s="13">
        <f>106/580</f>
        <v/>
      </c>
      <c r="J141" s="14" t="inlineStr">
        <is>
          <t>INC</t>
        </is>
      </c>
      <c r="K141" s="12" t="n">
        <v>-105</v>
      </c>
      <c r="L141" s="15">
        <f>I141-F141</f>
        <v/>
      </c>
      <c r="M141" s="12" t="n">
        <v>122</v>
      </c>
      <c r="N141" s="12" t="n">
        <v>580</v>
      </c>
    </row>
    <row r="142" ht="20" customHeight="1">
      <c r="A142" s="2" t="n">
        <v>141</v>
      </c>
      <c r="B142" s="3" t="inlineStr">
        <is>
          <t>Qadian Ward No. 2</t>
        </is>
      </c>
      <c r="C142" s="3" t="inlineStr">
        <is>
          <t>ਕਾਦੀਆਂ ਵਾਰਡ ਨੰ. 2</t>
        </is>
      </c>
      <c r="D142" s="16" t="inlineStr">
        <is>
          <t>Lost Both Times (Deficit)</t>
        </is>
      </c>
      <c r="E142" s="5" t="n">
        <v>195</v>
      </c>
      <c r="F142" s="6">
        <f>195/594</f>
        <v/>
      </c>
      <c r="G142" s="7" t="inlineStr">
        <is>
          <t>INC</t>
        </is>
      </c>
      <c r="H142" s="5" t="n">
        <v>175</v>
      </c>
      <c r="I142" s="6">
        <f>175/548</f>
        <v/>
      </c>
      <c r="J142" s="7" t="inlineStr">
        <is>
          <t>INC</t>
        </is>
      </c>
      <c r="K142" s="5" t="n">
        <v>-20</v>
      </c>
      <c r="L142" s="8">
        <f>I142-F142</f>
        <v/>
      </c>
      <c r="M142" s="5" t="n">
        <v>13</v>
      </c>
      <c r="N142" s="5" t="n">
        <v>548</v>
      </c>
    </row>
    <row r="143" ht="20" customHeight="1">
      <c r="A143" s="9" t="n">
        <v>142</v>
      </c>
      <c r="B143" s="10" t="inlineStr">
        <is>
          <t>Qadian Ward No. 1</t>
        </is>
      </c>
      <c r="C143" s="10" t="inlineStr">
        <is>
          <t>ਕਾਦੀਆਂ ਵਾਰਡ ਨੰ. 1</t>
        </is>
      </c>
      <c r="D143" s="4" t="inlineStr">
        <is>
          <t>Gained in 2024 (New Win)</t>
        </is>
      </c>
      <c r="E143" s="12" t="n">
        <v>249</v>
      </c>
      <c r="F143" s="13">
        <f>249/703</f>
        <v/>
      </c>
      <c r="G143" s="14" t="inlineStr">
        <is>
          <t>SAD</t>
        </is>
      </c>
      <c r="H143" s="12" t="n">
        <v>252</v>
      </c>
      <c r="I143" s="13">
        <f>252/628</f>
        <v/>
      </c>
      <c r="J143" s="14" t="inlineStr">
        <is>
          <t>AAP</t>
        </is>
      </c>
      <c r="K143" s="12" t="n">
        <v>3</v>
      </c>
      <c r="L143" s="15">
        <f>I143-F143</f>
        <v/>
      </c>
      <c r="M143" s="12" t="n">
        <v>120</v>
      </c>
      <c r="N143" s="12" t="n">
        <v>628</v>
      </c>
    </row>
    <row r="144" ht="20" customHeight="1">
      <c r="A144" s="2" t="n">
        <v>143</v>
      </c>
      <c r="B144" s="3" t="inlineStr">
        <is>
          <t>Qadian Ward No. 7</t>
        </is>
      </c>
      <c r="C144" s="3" t="inlineStr">
        <is>
          <t>ਕਾਦੀਆਂ ਵਾਰਡ ਨੰ. 7</t>
        </is>
      </c>
      <c r="D144" s="17" t="inlineStr">
        <is>
          <t>Weak Booth (&lt; 20% Share)</t>
        </is>
      </c>
      <c r="E144" s="5" t="n">
        <v>152</v>
      </c>
      <c r="F144" s="6">
        <f>152/471</f>
        <v/>
      </c>
      <c r="G144" s="7" t="inlineStr">
        <is>
          <t>SAD</t>
        </is>
      </c>
      <c r="H144" s="5" t="n">
        <v>85</v>
      </c>
      <c r="I144" s="6">
        <f>85/443</f>
        <v/>
      </c>
      <c r="J144" s="7" t="inlineStr">
        <is>
          <t>BJP</t>
        </is>
      </c>
      <c r="K144" s="5" t="n">
        <v>-67</v>
      </c>
      <c r="L144" s="8">
        <f>I144-F144</f>
        <v/>
      </c>
      <c r="M144" s="5" t="n">
        <v>47</v>
      </c>
      <c r="N144" s="5" t="n">
        <v>443</v>
      </c>
    </row>
    <row r="145" ht="20" customHeight="1">
      <c r="A145" s="9" t="n">
        <v>144</v>
      </c>
      <c r="B145" s="10" t="inlineStr">
        <is>
          <t>Qadian Ward No. 8</t>
        </is>
      </c>
      <c r="C145" s="10" t="inlineStr">
        <is>
          <t>ਕਾਦੀਆਂ ਵਾਰਡ ਨੰ. 8</t>
        </is>
      </c>
      <c r="D145" s="4" t="inlineStr">
        <is>
          <t>Gained in 2024 (New Win)</t>
        </is>
      </c>
      <c r="E145" s="12" t="n">
        <v>52</v>
      </c>
      <c r="F145" s="13">
        <f>52/825</f>
        <v/>
      </c>
      <c r="G145" s="14" t="inlineStr">
        <is>
          <t>INC</t>
        </is>
      </c>
      <c r="H145" s="12" t="n">
        <v>700</v>
      </c>
      <c r="I145" s="13">
        <f>700/815</f>
        <v/>
      </c>
      <c r="J145" s="14" t="inlineStr">
        <is>
          <t>AAP</t>
        </is>
      </c>
      <c r="K145" s="12" t="n">
        <v>648</v>
      </c>
      <c r="L145" s="15">
        <f>I145-F145</f>
        <v/>
      </c>
      <c r="M145" s="12" t="n">
        <v>622</v>
      </c>
      <c r="N145" s="12" t="n">
        <v>815</v>
      </c>
    </row>
    <row r="146" ht="20" customHeight="1">
      <c r="A146" s="2" t="n">
        <v>145</v>
      </c>
      <c r="B146" s="3" t="inlineStr">
        <is>
          <t>Qadian Civil Lines</t>
        </is>
      </c>
      <c r="C146" s="3" t="inlineStr">
        <is>
          <t>ਕਾਦੀਆਂ ਸਿਵਲ ਲਾਈਨ</t>
        </is>
      </c>
      <c r="D146" s="11" t="inlineStr">
        <is>
          <t>Won Both Times (Stronghold)</t>
        </is>
      </c>
      <c r="E146" s="5" t="n">
        <v>354</v>
      </c>
      <c r="F146" s="6">
        <f>354/663</f>
        <v/>
      </c>
      <c r="G146" s="7" t="inlineStr">
        <is>
          <t>AAP</t>
        </is>
      </c>
      <c r="H146" s="5" t="n">
        <v>258</v>
      </c>
      <c r="I146" s="6">
        <f>258/551</f>
        <v/>
      </c>
      <c r="J146" s="7" t="inlineStr">
        <is>
          <t>AAP</t>
        </is>
      </c>
      <c r="K146" s="5" t="n">
        <v>-96</v>
      </c>
      <c r="L146" s="8">
        <f>I146-F146</f>
        <v/>
      </c>
      <c r="M146" s="5" t="n">
        <v>102</v>
      </c>
      <c r="N146" s="5" t="n">
        <v>551</v>
      </c>
    </row>
    <row r="147" ht="20" customHeight="1">
      <c r="A147" s="9" t="n">
        <v>146</v>
      </c>
      <c r="B147" s="10" t="inlineStr">
        <is>
          <t>Qadian Ward No. 6</t>
        </is>
      </c>
      <c r="C147" s="10" t="inlineStr">
        <is>
          <t>ਕਾਦੀਆਂ ਵਾਰਡ ਨੰ. 6</t>
        </is>
      </c>
      <c r="D147" s="18" t="inlineStr">
        <is>
          <t>Lost in 2024 (to BJP)</t>
        </is>
      </c>
      <c r="E147" s="12" t="n">
        <v>202</v>
      </c>
      <c r="F147" s="13">
        <f>202/414</f>
        <v/>
      </c>
      <c r="G147" s="14" t="inlineStr">
        <is>
          <t>AAP</t>
        </is>
      </c>
      <c r="H147" s="12" t="n">
        <v>99</v>
      </c>
      <c r="I147" s="13">
        <f>99/366</f>
        <v/>
      </c>
      <c r="J147" s="14" t="inlineStr">
        <is>
          <t>BJP</t>
        </is>
      </c>
      <c r="K147" s="12" t="n">
        <v>-103</v>
      </c>
      <c r="L147" s="15">
        <f>I147-F147</f>
        <v/>
      </c>
      <c r="M147" s="12" t="n">
        <v>22</v>
      </c>
      <c r="N147" s="12" t="n">
        <v>366</v>
      </c>
    </row>
    <row r="148" ht="20" customHeight="1">
      <c r="A148" s="2" t="n">
        <v>147</v>
      </c>
      <c r="B148" s="3" t="inlineStr">
        <is>
          <t>Qadian Ward No. 5</t>
        </is>
      </c>
      <c r="C148" s="3" t="inlineStr">
        <is>
          <t>ਕਾਦੀਆਂ ਵਾਰਡ ਨੰ. 5</t>
        </is>
      </c>
      <c r="D148" s="17" t="inlineStr">
        <is>
          <t>Weak Booth (&lt; 20% Share)</t>
        </is>
      </c>
      <c r="E148" s="5" t="n">
        <v>111</v>
      </c>
      <c r="F148" s="6">
        <f>111/434</f>
        <v/>
      </c>
      <c r="G148" s="7" t="inlineStr">
        <is>
          <t>INC</t>
        </is>
      </c>
      <c r="H148" s="5" t="n">
        <v>80</v>
      </c>
      <c r="I148" s="6">
        <f>80/407</f>
        <v/>
      </c>
      <c r="J148" s="7" t="inlineStr">
        <is>
          <t>INC</t>
        </is>
      </c>
      <c r="K148" s="5" t="n">
        <v>-31</v>
      </c>
      <c r="L148" s="8">
        <f>I148-F148</f>
        <v/>
      </c>
      <c r="M148" s="5" t="n">
        <v>100</v>
      </c>
      <c r="N148" s="5" t="n">
        <v>407</v>
      </c>
    </row>
    <row r="149" ht="20" customHeight="1">
      <c r="A149" s="9" t="n">
        <v>148</v>
      </c>
      <c r="B149" s="10" t="inlineStr">
        <is>
          <t>Qadian Ward No. 5</t>
        </is>
      </c>
      <c r="C149" s="10" t="inlineStr">
        <is>
          <t>ਕਾਦੀਆਂ ਵਾਰਡ ਨੰ. 5</t>
        </is>
      </c>
      <c r="D149" s="16" t="inlineStr">
        <is>
          <t>Lost Both Times (Deficit)</t>
        </is>
      </c>
      <c r="E149" s="12" t="n">
        <v>137</v>
      </c>
      <c r="F149" s="13">
        <f>137/500</f>
        <v/>
      </c>
      <c r="G149" s="14" t="inlineStr">
        <is>
          <t>INC</t>
        </is>
      </c>
      <c r="H149" s="12" t="n">
        <v>113</v>
      </c>
      <c r="I149" s="13">
        <f>113/445</f>
        <v/>
      </c>
      <c r="J149" s="14" t="inlineStr">
        <is>
          <t>INC</t>
        </is>
      </c>
      <c r="K149" s="12" t="n">
        <v>-24</v>
      </c>
      <c r="L149" s="15">
        <f>I149-F149</f>
        <v/>
      </c>
      <c r="M149" s="12" t="n">
        <v>72</v>
      </c>
      <c r="N149" s="12" t="n">
        <v>445</v>
      </c>
    </row>
    <row r="150" ht="20" customHeight="1">
      <c r="A150" s="2" t="n">
        <v>149</v>
      </c>
      <c r="B150" s="3" t="inlineStr">
        <is>
          <t>Qadian Ward No. 11</t>
        </is>
      </c>
      <c r="C150" s="3" t="inlineStr">
        <is>
          <t>ਕਾਦੀਆਂ ਵਾਰਡ ਨੰ. 11</t>
        </is>
      </c>
      <c r="D150" s="16" t="inlineStr">
        <is>
          <t>Lost Both Times (Deficit)</t>
        </is>
      </c>
      <c r="E150" s="5" t="n">
        <v>317</v>
      </c>
      <c r="F150" s="6">
        <f>317/799</f>
        <v/>
      </c>
      <c r="G150" s="7" t="inlineStr">
        <is>
          <t>INC</t>
        </is>
      </c>
      <c r="H150" s="5" t="n">
        <v>205</v>
      </c>
      <c r="I150" s="6">
        <f>205/717</f>
        <v/>
      </c>
      <c r="J150" s="7" t="inlineStr">
        <is>
          <t>INC</t>
        </is>
      </c>
      <c r="K150" s="5" t="n">
        <v>-112</v>
      </c>
      <c r="L150" s="8">
        <f>I150-F150</f>
        <v/>
      </c>
      <c r="M150" s="5" t="n">
        <v>56</v>
      </c>
      <c r="N150" s="5" t="n">
        <v>717</v>
      </c>
    </row>
    <row r="151" ht="20" customHeight="1">
      <c r="A151" s="9" t="n">
        <v>150</v>
      </c>
      <c r="B151" s="10" t="inlineStr">
        <is>
          <t>Qadian Ward No. 10</t>
        </is>
      </c>
      <c r="C151" s="10" t="inlineStr">
        <is>
          <t>ਕਾਦੀਆਂ ਵਾਰਡ ਨੰ. 10</t>
        </is>
      </c>
      <c r="D151" s="4" t="inlineStr">
        <is>
          <t>Gained in 2024 (New Win)</t>
        </is>
      </c>
      <c r="E151" s="12" t="n">
        <v>234</v>
      </c>
      <c r="F151" s="13">
        <f>234/778</f>
        <v/>
      </c>
      <c r="G151" s="14" t="inlineStr">
        <is>
          <t>INC</t>
        </is>
      </c>
      <c r="H151" s="12" t="n">
        <v>238</v>
      </c>
      <c r="I151" s="13">
        <f>238/721</f>
        <v/>
      </c>
      <c r="J151" s="14" t="inlineStr">
        <is>
          <t>AAP</t>
        </is>
      </c>
      <c r="K151" s="12" t="n">
        <v>4</v>
      </c>
      <c r="L151" s="15">
        <f>I151-F151</f>
        <v/>
      </c>
      <c r="M151" s="12" t="n">
        <v>34</v>
      </c>
      <c r="N151" s="12" t="n">
        <v>721</v>
      </c>
    </row>
    <row r="152" ht="20" customHeight="1">
      <c r="A152" s="2" t="n">
        <v>151</v>
      </c>
      <c r="B152" s="3" t="inlineStr">
        <is>
          <t>Qadian Ward No. 12</t>
        </is>
      </c>
      <c r="C152" s="3" t="inlineStr">
        <is>
          <t>ਕਾਦੀਆਂ ਵਾਰਡ ਨੰ. 12</t>
        </is>
      </c>
      <c r="D152" s="16" t="inlineStr">
        <is>
          <t>Lost Both Times (Deficit)</t>
        </is>
      </c>
      <c r="E152" s="5" t="n">
        <v>234</v>
      </c>
      <c r="F152" s="6">
        <f>234/840</f>
        <v/>
      </c>
      <c r="G152" s="7" t="inlineStr">
        <is>
          <t>INC</t>
        </is>
      </c>
      <c r="H152" s="5" t="n">
        <v>212</v>
      </c>
      <c r="I152" s="6">
        <f>212/726</f>
        <v/>
      </c>
      <c r="J152" s="7" t="inlineStr">
        <is>
          <t>BJP</t>
        </is>
      </c>
      <c r="K152" s="5" t="n">
        <v>-22</v>
      </c>
      <c r="L152" s="8">
        <f>I152-F152</f>
        <v/>
      </c>
      <c r="M152" s="5" t="n">
        <v>53</v>
      </c>
      <c r="N152" s="5" t="n">
        <v>726</v>
      </c>
    </row>
    <row r="153" ht="20" customHeight="1">
      <c r="A153" s="9" t="n">
        <v>152</v>
      </c>
      <c r="B153" s="10" t="inlineStr">
        <is>
          <t>Qadian Ward No. 9</t>
        </is>
      </c>
      <c r="C153" s="10" t="inlineStr">
        <is>
          <t>ਕਾਦੀਆਂ ਵਾਰਡ ਨੰ. 9</t>
        </is>
      </c>
      <c r="D153" s="17" t="inlineStr">
        <is>
          <t>Weak Booth (&lt; 20% Share)</t>
        </is>
      </c>
      <c r="E153" s="12" t="n">
        <v>185</v>
      </c>
      <c r="F153" s="13">
        <f>185/796</f>
        <v/>
      </c>
      <c r="G153" s="14" t="inlineStr">
        <is>
          <t>INC</t>
        </is>
      </c>
      <c r="H153" s="12" t="n">
        <v>117</v>
      </c>
      <c r="I153" s="13">
        <f>117/736</f>
        <v/>
      </c>
      <c r="J153" s="14" t="inlineStr">
        <is>
          <t>BJP</t>
        </is>
      </c>
      <c r="K153" s="12" t="n">
        <v>-68</v>
      </c>
      <c r="L153" s="15">
        <f>I153-F153</f>
        <v/>
      </c>
      <c r="M153" s="12" t="n">
        <v>262</v>
      </c>
      <c r="N153" s="12" t="n">
        <v>736</v>
      </c>
    </row>
    <row r="154" ht="20" customHeight="1">
      <c r="A154" s="2" t="n">
        <v>153</v>
      </c>
      <c r="B154" s="3" t="inlineStr">
        <is>
          <t>Qadian Ward No. 13</t>
        </is>
      </c>
      <c r="C154" s="3" t="inlineStr">
        <is>
          <t>ਕਾਦੀਆਂ ਵਾਰਡ ਨੰ. 13</t>
        </is>
      </c>
      <c r="D154" s="17" t="inlineStr">
        <is>
          <t>Weak Booth (&lt; 20% Share)</t>
        </is>
      </c>
      <c r="E154" s="5" t="n">
        <v>211</v>
      </c>
      <c r="F154" s="6">
        <f>211/661</f>
        <v/>
      </c>
      <c r="G154" s="7" t="inlineStr">
        <is>
          <t>INC</t>
        </is>
      </c>
      <c r="H154" s="5" t="n">
        <v>113</v>
      </c>
      <c r="I154" s="6">
        <f>113/605</f>
        <v/>
      </c>
      <c r="J154" s="7" t="inlineStr">
        <is>
          <t>BJP</t>
        </is>
      </c>
      <c r="K154" s="5" t="n">
        <v>-98</v>
      </c>
      <c r="L154" s="8">
        <f>I154-F154</f>
        <v/>
      </c>
      <c r="M154" s="5" t="n">
        <v>107</v>
      </c>
      <c r="N154" s="5" t="n">
        <v>605</v>
      </c>
    </row>
    <row r="155" ht="20" customHeight="1">
      <c r="A155" s="9" t="n">
        <v>154</v>
      </c>
      <c r="B155" s="10" t="inlineStr">
        <is>
          <t>Qadian Ward No. 15</t>
        </is>
      </c>
      <c r="C155" s="10" t="inlineStr">
        <is>
          <t>ਕਾਦੀਆਂ ਵਾਰਡ ਨੰ. 15</t>
        </is>
      </c>
      <c r="D155" s="17" t="inlineStr">
        <is>
          <t>Weak Booth (&lt; 20% Share)</t>
        </is>
      </c>
      <c r="E155" s="12" t="n">
        <v>106</v>
      </c>
      <c r="F155" s="13">
        <f>106/692</f>
        <v/>
      </c>
      <c r="G155" s="14" t="inlineStr">
        <is>
          <t>INC</t>
        </is>
      </c>
      <c r="H155" s="12" t="n">
        <v>90</v>
      </c>
      <c r="I155" s="13">
        <f>90/601</f>
        <v/>
      </c>
      <c r="J155" s="14" t="inlineStr">
        <is>
          <t>INC</t>
        </is>
      </c>
      <c r="K155" s="12" t="n">
        <v>-16</v>
      </c>
      <c r="L155" s="15">
        <f>I155-F155</f>
        <v/>
      </c>
      <c r="M155" s="12" t="n">
        <v>176</v>
      </c>
      <c r="N155" s="12" t="n">
        <v>601</v>
      </c>
    </row>
    <row r="156" ht="20" customHeight="1">
      <c r="A156" s="2" t="n">
        <v>155</v>
      </c>
      <c r="B156" s="3" t="inlineStr">
        <is>
          <t>Qadian Ward No. 14</t>
        </is>
      </c>
      <c r="C156" s="3" t="inlineStr">
        <is>
          <t>ਕਾਦੀਆਂ ਵਾਰਡ ਨੰ. 14</t>
        </is>
      </c>
      <c r="D156" s="16" t="inlineStr">
        <is>
          <t>Lost Both Times (Deficit)</t>
        </is>
      </c>
      <c r="E156" s="5" t="n">
        <v>129</v>
      </c>
      <c r="F156" s="6">
        <f>129/792</f>
        <v/>
      </c>
      <c r="G156" s="7" t="inlineStr">
        <is>
          <t>INC</t>
        </is>
      </c>
      <c r="H156" s="5" t="n">
        <v>222</v>
      </c>
      <c r="I156" s="6">
        <f>222/722</f>
        <v/>
      </c>
      <c r="J156" s="7" t="inlineStr">
        <is>
          <t>BJP</t>
        </is>
      </c>
      <c r="K156" s="5" t="n">
        <v>93</v>
      </c>
      <c r="L156" s="8">
        <f>I156-F156</f>
        <v/>
      </c>
      <c r="M156" s="5" t="n">
        <v>2</v>
      </c>
      <c r="N156" s="5" t="n">
        <v>722</v>
      </c>
    </row>
    <row r="157" ht="20" customHeight="1">
      <c r="A157" s="9" t="n">
        <v>156</v>
      </c>
      <c r="B157" s="10" t="inlineStr">
        <is>
          <t>Qadian Ward No. 3</t>
        </is>
      </c>
      <c r="C157" s="10" t="inlineStr">
        <is>
          <t>ਕਾਦੀਆਂ ਵਾਰਡ ਨੰ. 3</t>
        </is>
      </c>
      <c r="D157" s="4" t="inlineStr">
        <is>
          <t>Gained in 2024 (New Win)</t>
        </is>
      </c>
      <c r="E157" s="12" t="n">
        <v>199</v>
      </c>
      <c r="F157" s="13">
        <f>199/632</f>
        <v/>
      </c>
      <c r="G157" s="14" t="inlineStr">
        <is>
          <t>SAD</t>
        </is>
      </c>
      <c r="H157" s="12" t="n">
        <v>201</v>
      </c>
      <c r="I157" s="13">
        <f>201/557</f>
        <v/>
      </c>
      <c r="J157" s="14" t="inlineStr">
        <is>
          <t>AAP</t>
        </is>
      </c>
      <c r="K157" s="12" t="n">
        <v>2</v>
      </c>
      <c r="L157" s="15">
        <f>I157-F157</f>
        <v/>
      </c>
      <c r="M157" s="12" t="n">
        <v>6</v>
      </c>
      <c r="N157" s="12" t="n">
        <v>557</v>
      </c>
    </row>
    <row r="158" ht="20" customHeight="1">
      <c r="A158" s="2" t="n">
        <v>157</v>
      </c>
      <c r="B158" s="3" t="inlineStr">
        <is>
          <t>Nathpur</t>
        </is>
      </c>
      <c r="C158" s="3" t="inlineStr">
        <is>
          <t>ਨਾਥਪੁਰ</t>
        </is>
      </c>
      <c r="D158" s="18" t="inlineStr">
        <is>
          <t>Lost in 2024 (to INC)</t>
        </is>
      </c>
      <c r="E158" s="5" t="n">
        <v>331</v>
      </c>
      <c r="F158" s="6">
        <f>331/867</f>
        <v/>
      </c>
      <c r="G158" s="7" t="inlineStr">
        <is>
          <t>AAP</t>
        </is>
      </c>
      <c r="H158" s="5" t="n">
        <v>224</v>
      </c>
      <c r="I158" s="6">
        <f>224/856</f>
        <v/>
      </c>
      <c r="J158" s="7" t="inlineStr">
        <is>
          <t>INC</t>
        </is>
      </c>
      <c r="K158" s="5" t="n">
        <v>-107</v>
      </c>
      <c r="L158" s="8">
        <f>I158-F158</f>
        <v/>
      </c>
      <c r="M158" s="5" t="n">
        <v>85</v>
      </c>
      <c r="N158" s="5" t="n">
        <v>856</v>
      </c>
    </row>
    <row r="159" ht="20" customHeight="1">
      <c r="A159" s="9" t="n">
        <v>158</v>
      </c>
      <c r="B159" s="10" t="inlineStr">
        <is>
          <t>Bhagatpura Rathwala</t>
        </is>
      </c>
      <c r="C159" s="10" t="inlineStr">
        <is>
          <t>ਭਗਤਪੁਰਾ ਰੱਥਵਾਲਾ</t>
        </is>
      </c>
      <c r="D159" s="16" t="inlineStr">
        <is>
          <t>Lost Both Times (Deficit)</t>
        </is>
      </c>
      <c r="E159" s="12" t="n">
        <v>99</v>
      </c>
      <c r="F159" s="13">
        <f>99/484</f>
        <v/>
      </c>
      <c r="G159" s="14" t="inlineStr">
        <is>
          <t>SAD</t>
        </is>
      </c>
      <c r="H159" s="12" t="n">
        <v>135</v>
      </c>
      <c r="I159" s="13">
        <f>135/443</f>
        <v/>
      </c>
      <c r="J159" s="14" t="inlineStr">
        <is>
          <t>INC</t>
        </is>
      </c>
      <c r="K159" s="12" t="n">
        <v>36</v>
      </c>
      <c r="L159" s="15">
        <f>I159-F159</f>
        <v/>
      </c>
      <c r="M159" s="12" t="n">
        <v>56</v>
      </c>
      <c r="N159" s="12" t="n">
        <v>443</v>
      </c>
    </row>
    <row r="160" ht="20" customHeight="1">
      <c r="A160" s="2" t="n">
        <v>159</v>
      </c>
      <c r="B160" s="3" t="inlineStr">
        <is>
          <t>Nangal Baghbana</t>
        </is>
      </c>
      <c r="C160" s="3" t="inlineStr">
        <is>
          <t>ਨੰਗਲ ਬਾਗਬਾਨਾ</t>
        </is>
      </c>
      <c r="D160" s="4" t="inlineStr">
        <is>
          <t>Gained in 2024 (New Win)</t>
        </is>
      </c>
      <c r="E160" s="5" t="n">
        <v>117</v>
      </c>
      <c r="F160" s="6">
        <f>117/483</f>
        <v/>
      </c>
      <c r="G160" s="7" t="inlineStr">
        <is>
          <t>INC</t>
        </is>
      </c>
      <c r="H160" s="5" t="n">
        <v>273</v>
      </c>
      <c r="I160" s="6">
        <f>273/438</f>
        <v/>
      </c>
      <c r="J160" s="7" t="inlineStr">
        <is>
          <t>AAP</t>
        </is>
      </c>
      <c r="K160" s="5" t="n">
        <v>156</v>
      </c>
      <c r="L160" s="8">
        <f>I160-F160</f>
        <v/>
      </c>
      <c r="M160" s="5" t="n">
        <v>175</v>
      </c>
      <c r="N160" s="5" t="n">
        <v>438</v>
      </c>
    </row>
    <row r="161" ht="20" customHeight="1">
      <c r="A161" s="9" t="n">
        <v>160</v>
      </c>
      <c r="B161" s="10" t="inlineStr">
        <is>
          <t>Chhota Nangal</t>
        </is>
      </c>
      <c r="C161" s="10" t="inlineStr">
        <is>
          <t>ਛੋਟਾ ਨੰਗਲ</t>
        </is>
      </c>
      <c r="D161" s="4" t="inlineStr">
        <is>
          <t>Gained in 2024 (New Win)</t>
        </is>
      </c>
      <c r="E161" s="12" t="n">
        <v>111</v>
      </c>
      <c r="F161" s="13">
        <f>111/312</f>
        <v/>
      </c>
      <c r="G161" s="14" t="inlineStr">
        <is>
          <t>INC</t>
        </is>
      </c>
      <c r="H161" s="12" t="n">
        <v>120</v>
      </c>
      <c r="I161" s="13">
        <f>120/342</f>
        <v/>
      </c>
      <c r="J161" s="14" t="inlineStr">
        <is>
          <t>AAP</t>
        </is>
      </c>
      <c r="K161" s="12" t="n">
        <v>9</v>
      </c>
      <c r="L161" s="15">
        <f>I161-F161</f>
        <v/>
      </c>
      <c r="M161" s="12" t="n">
        <v>7</v>
      </c>
      <c r="N161" s="12" t="n">
        <v>342</v>
      </c>
    </row>
    <row r="162" ht="20" customHeight="1">
      <c r="A162" s="2" t="n">
        <v>161</v>
      </c>
      <c r="B162" s="3" t="inlineStr">
        <is>
          <t>Kahlwan</t>
        </is>
      </c>
      <c r="C162" s="3" t="inlineStr">
        <is>
          <t>ਕਾਹਲਵਾਂ</t>
        </is>
      </c>
      <c r="D162" s="17" t="inlineStr">
        <is>
          <t>Weak Booth (&lt; 20% Share)</t>
        </is>
      </c>
      <c r="E162" s="5" t="n">
        <v>233</v>
      </c>
      <c r="F162" s="6">
        <f>233/785</f>
        <v/>
      </c>
      <c r="G162" s="7" t="inlineStr">
        <is>
          <t>INC</t>
        </is>
      </c>
      <c r="H162" s="5" t="n">
        <v>143</v>
      </c>
      <c r="I162" s="6">
        <f>143/721</f>
        <v/>
      </c>
      <c r="J162" s="7" t="inlineStr">
        <is>
          <t>INC</t>
        </is>
      </c>
      <c r="K162" s="5" t="n">
        <v>-90</v>
      </c>
      <c r="L162" s="8">
        <f>I162-F162</f>
        <v/>
      </c>
      <c r="M162" s="5" t="n">
        <v>243</v>
      </c>
      <c r="N162" s="5" t="n">
        <v>721</v>
      </c>
    </row>
    <row r="163" ht="20" customHeight="1">
      <c r="A163" s="9" t="n">
        <v>162</v>
      </c>
      <c r="B163" s="10" t="inlineStr">
        <is>
          <t>Kahlwan</t>
        </is>
      </c>
      <c r="C163" s="10" t="inlineStr">
        <is>
          <t>ਕਾਹਲਵਾਂ</t>
        </is>
      </c>
      <c r="D163" s="16" t="inlineStr">
        <is>
          <t>Lost Both Times (Deficit)</t>
        </is>
      </c>
      <c r="E163" s="12" t="n">
        <v>164</v>
      </c>
      <c r="F163" s="13">
        <f>164/584</f>
        <v/>
      </c>
      <c r="G163" s="14" t="inlineStr">
        <is>
          <t>INC</t>
        </is>
      </c>
      <c r="H163" s="12" t="n">
        <v>171</v>
      </c>
      <c r="I163" s="13">
        <f>171/452</f>
        <v/>
      </c>
      <c r="J163" s="14" t="inlineStr">
        <is>
          <t>INC</t>
        </is>
      </c>
      <c r="K163" s="12" t="n">
        <v>7</v>
      </c>
      <c r="L163" s="15">
        <f>I163-F163</f>
        <v/>
      </c>
      <c r="M163" s="12" t="n">
        <v>17</v>
      </c>
      <c r="N163" s="12" t="n">
        <v>452</v>
      </c>
    </row>
    <row r="164" ht="20" customHeight="1">
      <c r="A164" s="2" t="n">
        <v>163</v>
      </c>
      <c r="B164" s="3" t="inlineStr">
        <is>
          <t>Kahlwan</t>
        </is>
      </c>
      <c r="C164" s="3" t="inlineStr">
        <is>
          <t>ਕਾਹਲਵਾਂ</t>
        </is>
      </c>
      <c r="D164" s="16" t="inlineStr">
        <is>
          <t>Lost Both Times (Deficit)</t>
        </is>
      </c>
      <c r="E164" s="5" t="n">
        <v>140</v>
      </c>
      <c r="F164" s="6">
        <f>140/442</f>
        <v/>
      </c>
      <c r="G164" s="7" t="inlineStr">
        <is>
          <t>INC</t>
        </is>
      </c>
      <c r="H164" s="5" t="n">
        <v>88</v>
      </c>
      <c r="I164" s="6">
        <f>88/320</f>
        <v/>
      </c>
      <c r="J164" s="7" t="inlineStr">
        <is>
          <t>INC</t>
        </is>
      </c>
      <c r="K164" s="5" t="n">
        <v>-52</v>
      </c>
      <c r="L164" s="8">
        <f>I164-F164</f>
        <v/>
      </c>
      <c r="M164" s="5" t="n">
        <v>22</v>
      </c>
      <c r="N164" s="5" t="n">
        <v>320</v>
      </c>
    </row>
    <row r="165" ht="20" customHeight="1">
      <c r="A165" s="9" t="n">
        <v>164</v>
      </c>
      <c r="B165" s="10" t="inlineStr">
        <is>
          <t>Basrai</t>
        </is>
      </c>
      <c r="C165" s="10" t="inlineStr">
        <is>
          <t>ਬਸਰਈ</t>
        </is>
      </c>
      <c r="D165" s="16" t="inlineStr">
        <is>
          <t>Lost Both Times (Deficit)</t>
        </is>
      </c>
      <c r="E165" s="12" t="n">
        <v>206</v>
      </c>
      <c r="F165" s="13">
        <f>206/777</f>
        <v/>
      </c>
      <c r="G165" s="14" t="inlineStr">
        <is>
          <t>INC</t>
        </is>
      </c>
      <c r="H165" s="12" t="n">
        <v>232</v>
      </c>
      <c r="I165" s="13">
        <f>232/684</f>
        <v/>
      </c>
      <c r="J165" s="14" t="inlineStr">
        <is>
          <t>INC</t>
        </is>
      </c>
      <c r="K165" s="12" t="n">
        <v>26</v>
      </c>
      <c r="L165" s="15">
        <f>I165-F165</f>
        <v/>
      </c>
      <c r="M165" s="12" t="n">
        <v>53</v>
      </c>
      <c r="N165" s="12" t="n">
        <v>684</v>
      </c>
    </row>
    <row r="166" ht="20" customHeight="1">
      <c r="A166" s="2" t="n">
        <v>165</v>
      </c>
      <c r="B166" s="3" t="inlineStr">
        <is>
          <t>Basrai</t>
        </is>
      </c>
      <c r="C166" s="3" t="inlineStr">
        <is>
          <t>ਬਸਰਈ</t>
        </is>
      </c>
      <c r="D166" s="18" t="inlineStr">
        <is>
          <t>Lost in 2024 (to INC)</t>
        </is>
      </c>
      <c r="E166" s="5" t="n">
        <v>238</v>
      </c>
      <c r="F166" s="6">
        <f>238/592</f>
        <v/>
      </c>
      <c r="G166" s="7" t="inlineStr">
        <is>
          <t>AAP</t>
        </is>
      </c>
      <c r="H166" s="5" t="n">
        <v>100</v>
      </c>
      <c r="I166" s="6">
        <f>100/458</f>
        <v/>
      </c>
      <c r="J166" s="7" t="inlineStr">
        <is>
          <t>INC</t>
        </is>
      </c>
      <c r="K166" s="5" t="n">
        <v>-138</v>
      </c>
      <c r="L166" s="8">
        <f>I166-F166</f>
        <v/>
      </c>
      <c r="M166" s="5" t="n">
        <v>36</v>
      </c>
      <c r="N166" s="5" t="n">
        <v>458</v>
      </c>
    </row>
    <row r="167" ht="20" customHeight="1">
      <c r="A167" s="9" t="n">
        <v>166</v>
      </c>
      <c r="B167" s="10" t="inlineStr">
        <is>
          <t>Basrai</t>
        </is>
      </c>
      <c r="C167" s="10" t="inlineStr">
        <is>
          <t>ਬਸਰਈ</t>
        </is>
      </c>
      <c r="D167" s="17" t="inlineStr">
        <is>
          <t>Weak Booth (&lt; 20% Share)</t>
        </is>
      </c>
      <c r="E167" s="12" t="n">
        <v>257</v>
      </c>
      <c r="F167" s="13">
        <f>257/668</f>
        <v/>
      </c>
      <c r="G167" s="14" t="inlineStr">
        <is>
          <t>INC</t>
        </is>
      </c>
      <c r="H167" s="12" t="n">
        <v>69</v>
      </c>
      <c r="I167" s="13">
        <f>69/611</f>
        <v/>
      </c>
      <c r="J167" s="14" t="inlineStr">
        <is>
          <t>INC</t>
        </is>
      </c>
      <c r="K167" s="12" t="n">
        <v>-188</v>
      </c>
      <c r="L167" s="15">
        <f>I167-F167</f>
        <v/>
      </c>
      <c r="M167" s="12" t="n">
        <v>134</v>
      </c>
      <c r="N167" s="12" t="n">
        <v>611</v>
      </c>
    </row>
    <row r="168" ht="20" customHeight="1">
      <c r="A168" s="2" t="n">
        <v>167</v>
      </c>
      <c r="B168" s="3" t="inlineStr">
        <is>
          <t>Daili Bangar</t>
        </is>
      </c>
      <c r="C168" s="3" t="inlineStr">
        <is>
          <t>ਡੈਲੀ ਬਾਂਗਰ</t>
        </is>
      </c>
      <c r="D168" s="4" t="inlineStr">
        <is>
          <t>Gained in 2024 (New Win)</t>
        </is>
      </c>
      <c r="E168" s="5" t="n">
        <v>87</v>
      </c>
      <c r="F168" s="6">
        <f>87/443</f>
        <v/>
      </c>
      <c r="G168" s="7" t="inlineStr">
        <is>
          <t>SAD</t>
        </is>
      </c>
      <c r="H168" s="5" t="n">
        <v>227</v>
      </c>
      <c r="I168" s="6">
        <f>227/442</f>
        <v/>
      </c>
      <c r="J168" s="7" t="inlineStr">
        <is>
          <t>AAP</t>
        </is>
      </c>
      <c r="K168" s="5" t="n">
        <v>140</v>
      </c>
      <c r="L168" s="8">
        <f>I168-F168</f>
        <v/>
      </c>
      <c r="M168" s="5" t="n">
        <v>127</v>
      </c>
      <c r="N168" s="5" t="n">
        <v>442</v>
      </c>
    </row>
    <row r="169" ht="20" customHeight="1">
      <c r="A169" s="9" t="n">
        <v>168</v>
      </c>
      <c r="B169" s="10" t="inlineStr">
        <is>
          <t>Daili Bangar</t>
        </is>
      </c>
      <c r="C169" s="10" t="inlineStr">
        <is>
          <t>ਡੈਲੀ ਬਾਂਗਰ</t>
        </is>
      </c>
      <c r="D169" s="4" t="inlineStr">
        <is>
          <t>Gained in 2024 (New Win)</t>
        </is>
      </c>
      <c r="E169" s="12" t="n">
        <v>128</v>
      </c>
      <c r="F169" s="13">
        <f>128/440</f>
        <v/>
      </c>
      <c r="G169" s="14" t="inlineStr">
        <is>
          <t>SAD</t>
        </is>
      </c>
      <c r="H169" s="12" t="n">
        <v>179</v>
      </c>
      <c r="I169" s="13">
        <f>179/424</f>
        <v/>
      </c>
      <c r="J169" s="14" t="inlineStr">
        <is>
          <t>AAP</t>
        </is>
      </c>
      <c r="K169" s="12" t="n">
        <v>51</v>
      </c>
      <c r="L169" s="15">
        <f>I169-F169</f>
        <v/>
      </c>
      <c r="M169" s="12" t="n">
        <v>71</v>
      </c>
      <c r="N169" s="12" t="n">
        <v>424</v>
      </c>
    </row>
    <row r="170" ht="20" customHeight="1">
      <c r="A170" s="2" t="n">
        <v>169</v>
      </c>
      <c r="B170" s="3" t="inlineStr">
        <is>
          <t>Bhangwan</t>
        </is>
      </c>
      <c r="C170" s="3" t="inlineStr">
        <is>
          <t>ਭੰਗਵਾਂ</t>
        </is>
      </c>
      <c r="D170" s="16" t="inlineStr">
        <is>
          <t>Lost Both Times (Deficit)</t>
        </is>
      </c>
      <c r="E170" s="5" t="n">
        <v>245</v>
      </c>
      <c r="F170" s="6">
        <f>245/693</f>
        <v/>
      </c>
      <c r="G170" s="7" t="inlineStr">
        <is>
          <t>INC</t>
        </is>
      </c>
      <c r="H170" s="5" t="n">
        <v>178</v>
      </c>
      <c r="I170" s="6">
        <f>178/647</f>
        <v/>
      </c>
      <c r="J170" s="7" t="inlineStr">
        <is>
          <t>SAD</t>
        </is>
      </c>
      <c r="K170" s="5" t="n">
        <v>-67</v>
      </c>
      <c r="L170" s="8">
        <f>I170-F170</f>
        <v/>
      </c>
      <c r="M170" s="5" t="n">
        <v>29</v>
      </c>
      <c r="N170" s="5" t="n">
        <v>647</v>
      </c>
    </row>
    <row r="171" ht="20" customHeight="1">
      <c r="A171" s="9" t="n">
        <v>170</v>
      </c>
      <c r="B171" s="10" t="inlineStr">
        <is>
          <t>Salarpur</t>
        </is>
      </c>
      <c r="C171" s="10" t="inlineStr">
        <is>
          <t>ਸਲਾਰਪੁਰ</t>
        </is>
      </c>
      <c r="D171" s="16" t="inlineStr">
        <is>
          <t>Lost Both Times (Deficit)</t>
        </is>
      </c>
      <c r="E171" s="12" t="n">
        <v>273</v>
      </c>
      <c r="F171" s="13">
        <f>273/826</f>
        <v/>
      </c>
      <c r="G171" s="14" t="inlineStr">
        <is>
          <t>INC</t>
        </is>
      </c>
      <c r="H171" s="12" t="n">
        <v>147</v>
      </c>
      <c r="I171" s="13">
        <f>147/676</f>
        <v/>
      </c>
      <c r="J171" s="14" t="inlineStr">
        <is>
          <t>INC</t>
        </is>
      </c>
      <c r="K171" s="12" t="n">
        <v>-126</v>
      </c>
      <c r="L171" s="15">
        <f>I171-F171</f>
        <v/>
      </c>
      <c r="M171" s="12" t="n">
        <v>175</v>
      </c>
      <c r="N171" s="12" t="n">
        <v>676</v>
      </c>
    </row>
    <row r="172" ht="20" customHeight="1">
      <c r="A172" s="2" t="n">
        <v>171</v>
      </c>
      <c r="B172" s="3" t="inlineStr">
        <is>
          <t>Chandogi Mayian Singh</t>
        </is>
      </c>
      <c r="C172" s="3" t="inlineStr">
        <is>
          <t>ਚੰਡੋਗੀ ਮਈਆਂ ਸਿੰਘ</t>
        </is>
      </c>
      <c r="D172" s="18" t="inlineStr">
        <is>
          <t>Lost in 2024 (to SAD)</t>
        </is>
      </c>
      <c r="E172" s="5" t="n">
        <v>317</v>
      </c>
      <c r="F172" s="6">
        <f>317/594</f>
        <v/>
      </c>
      <c r="G172" s="7" t="inlineStr">
        <is>
          <t>AAP</t>
        </is>
      </c>
      <c r="H172" s="5" t="n">
        <v>175</v>
      </c>
      <c r="I172" s="6">
        <f>175/535</f>
        <v/>
      </c>
      <c r="J172" s="7" t="inlineStr">
        <is>
          <t>SAD</t>
        </is>
      </c>
      <c r="K172" s="5" t="n">
        <v>-142</v>
      </c>
      <c r="L172" s="8">
        <f>I172-F172</f>
        <v/>
      </c>
      <c r="M172" s="5" t="n">
        <v>3</v>
      </c>
      <c r="N172" s="5" t="n">
        <v>535</v>
      </c>
    </row>
    <row r="173" ht="20" customHeight="1">
      <c r="A173" s="9" t="n">
        <v>172</v>
      </c>
      <c r="B173" s="10" t="inlineStr">
        <is>
          <t>Kunt</t>
        </is>
      </c>
      <c r="C173" s="10" t="inlineStr">
        <is>
          <t>ਕੂੰਟ</t>
        </is>
      </c>
      <c r="D173" s="18" t="inlineStr">
        <is>
          <t>Lost in 2024 (to INC)</t>
        </is>
      </c>
      <c r="E173" s="12" t="n">
        <v>239</v>
      </c>
      <c r="F173" s="13">
        <f>239/617</f>
        <v/>
      </c>
      <c r="G173" s="14" t="inlineStr">
        <is>
          <t>AAP</t>
        </is>
      </c>
      <c r="H173" s="12" t="n">
        <v>179</v>
      </c>
      <c r="I173" s="13">
        <f>179/580</f>
        <v/>
      </c>
      <c r="J173" s="14" t="inlineStr">
        <is>
          <t>INC</t>
        </is>
      </c>
      <c r="K173" s="12" t="n">
        <v>-60</v>
      </c>
      <c r="L173" s="15">
        <f>I173-F173</f>
        <v/>
      </c>
      <c r="M173" s="12" t="n">
        <v>84</v>
      </c>
      <c r="N173" s="12" t="n">
        <v>580</v>
      </c>
    </row>
    <row r="174" ht="20" customHeight="1">
      <c r="A174" s="2" t="n">
        <v>173</v>
      </c>
      <c r="B174" s="3" t="inlineStr">
        <is>
          <t>Ghot Khurd</t>
        </is>
      </c>
      <c r="C174" s="3" t="inlineStr">
        <is>
          <t>ਗੋਹਤ ਖੁਰਦ</t>
        </is>
      </c>
      <c r="D174" s="16" t="inlineStr">
        <is>
          <t>Lost Both Times (Deficit)</t>
        </is>
      </c>
      <c r="E174" s="5" t="n">
        <v>178</v>
      </c>
      <c r="F174" s="6">
        <f>178/438</f>
        <v/>
      </c>
      <c r="G174" s="7" t="inlineStr">
        <is>
          <t>INC</t>
        </is>
      </c>
      <c r="H174" s="5" t="n">
        <v>114</v>
      </c>
      <c r="I174" s="6">
        <f>114/424</f>
        <v/>
      </c>
      <c r="J174" s="7" t="inlineStr">
        <is>
          <t>INC</t>
        </is>
      </c>
      <c r="K174" s="5" t="n">
        <v>-64</v>
      </c>
      <c r="L174" s="8">
        <f>I174-F174</f>
        <v/>
      </c>
      <c r="M174" s="5" t="n">
        <v>31</v>
      </c>
      <c r="N174" s="5" t="n">
        <v>424</v>
      </c>
    </row>
    <row r="175" ht="20" customHeight="1">
      <c r="A175" s="9" t="n">
        <v>174</v>
      </c>
      <c r="B175" s="10" t="inlineStr">
        <is>
          <t>Hambowal</t>
        </is>
      </c>
      <c r="C175" s="10" t="inlineStr">
        <is>
          <t>ਹੰਬੋਵਾਲ</t>
        </is>
      </c>
      <c r="D175" s="4" t="inlineStr">
        <is>
          <t>Gained in 2024 (New Win)</t>
        </is>
      </c>
      <c r="E175" s="12" t="n">
        <v>140</v>
      </c>
      <c r="F175" s="13">
        <f>140/571</f>
        <v/>
      </c>
      <c r="G175" s="14" t="inlineStr">
        <is>
          <t>INC</t>
        </is>
      </c>
      <c r="H175" s="12" t="n">
        <v>199</v>
      </c>
      <c r="I175" s="13">
        <f>199/517</f>
        <v/>
      </c>
      <c r="J175" s="14" t="inlineStr">
        <is>
          <t>AAP</t>
        </is>
      </c>
      <c r="K175" s="12" t="n">
        <v>59</v>
      </c>
      <c r="L175" s="15">
        <f>I175-F175</f>
        <v/>
      </c>
      <c r="M175" s="12" t="n">
        <v>38</v>
      </c>
      <c r="N175" s="12" t="n">
        <v>517</v>
      </c>
    </row>
    <row r="176" ht="20" customHeight="1">
      <c r="A176" s="2" t="n">
        <v>175</v>
      </c>
      <c r="B176" s="3" t="inlineStr">
        <is>
          <t>Chib</t>
        </is>
      </c>
      <c r="C176" s="3" t="inlineStr">
        <is>
          <t>ਛਿੱਬ</t>
        </is>
      </c>
      <c r="D176" s="17" t="inlineStr">
        <is>
          <t>Weak Booth (&lt; 20% Share)</t>
        </is>
      </c>
      <c r="E176" s="5" t="n">
        <v>153</v>
      </c>
      <c r="F176" s="6">
        <f>153/552</f>
        <v/>
      </c>
      <c r="G176" s="7" t="inlineStr">
        <is>
          <t>INC</t>
        </is>
      </c>
      <c r="H176" s="5" t="n">
        <v>52</v>
      </c>
      <c r="I176" s="6">
        <f>52/517</f>
        <v/>
      </c>
      <c r="J176" s="7" t="inlineStr">
        <is>
          <t>BJP</t>
        </is>
      </c>
      <c r="K176" s="5" t="n">
        <v>-101</v>
      </c>
      <c r="L176" s="8">
        <f>I176-F176</f>
        <v/>
      </c>
      <c r="M176" s="5" t="n">
        <v>288</v>
      </c>
      <c r="N176" s="5" t="n">
        <v>517</v>
      </c>
    </row>
    <row r="177" ht="20" customHeight="1">
      <c r="A177" s="9" t="n">
        <v>176</v>
      </c>
      <c r="B177" s="10" t="inlineStr">
        <is>
          <t>Bhattian</t>
        </is>
      </c>
      <c r="C177" s="10" t="inlineStr">
        <is>
          <t>ਭੱਟੀਆਂ</t>
        </is>
      </c>
      <c r="D177" s="18" t="inlineStr">
        <is>
          <t>Lost in 2024 (to INC)</t>
        </is>
      </c>
      <c r="E177" s="12" t="n">
        <v>203</v>
      </c>
      <c r="F177" s="13">
        <f>203/604</f>
        <v/>
      </c>
      <c r="G177" s="14" t="inlineStr">
        <is>
          <t>AAP</t>
        </is>
      </c>
      <c r="H177" s="12" t="n">
        <v>160</v>
      </c>
      <c r="I177" s="13">
        <f>160/513</f>
        <v/>
      </c>
      <c r="J177" s="14" t="inlineStr">
        <is>
          <t>INC</t>
        </is>
      </c>
      <c r="K177" s="12" t="n">
        <v>-43</v>
      </c>
      <c r="L177" s="15">
        <f>I177-F177</f>
        <v/>
      </c>
      <c r="M177" s="12" t="n">
        <v>18</v>
      </c>
      <c r="N177" s="12" t="n">
        <v>513</v>
      </c>
    </row>
    <row r="178" ht="20" customHeight="1">
      <c r="A178" s="2" t="n">
        <v>177</v>
      </c>
      <c r="B178" s="3" t="inlineStr">
        <is>
          <t>Bhattian</t>
        </is>
      </c>
      <c r="C178" s="3" t="inlineStr">
        <is>
          <t>ਭੱਟੀਆਂ</t>
        </is>
      </c>
      <c r="D178" s="4" t="inlineStr">
        <is>
          <t>Gained in 2024 (New Win)</t>
        </is>
      </c>
      <c r="E178" s="5" t="n">
        <v>176</v>
      </c>
      <c r="F178" s="6">
        <f>176/573</f>
        <v/>
      </c>
      <c r="G178" s="7" t="inlineStr">
        <is>
          <t>INC</t>
        </is>
      </c>
      <c r="H178" s="5" t="n">
        <v>245</v>
      </c>
      <c r="I178" s="6">
        <f>245/523</f>
        <v/>
      </c>
      <c r="J178" s="7" t="inlineStr">
        <is>
          <t>AAP</t>
        </is>
      </c>
      <c r="K178" s="5" t="n">
        <v>69</v>
      </c>
      <c r="L178" s="8">
        <f>I178-F178</f>
        <v/>
      </c>
      <c r="M178" s="5" t="n">
        <v>58</v>
      </c>
      <c r="N178" s="5" t="n">
        <v>523</v>
      </c>
    </row>
    <row r="179" ht="20" customHeight="1">
      <c r="A179" s="9" t="n">
        <v>178</v>
      </c>
      <c r="B179" s="10" t="inlineStr">
        <is>
          <t>Jangowal Bangar</t>
        </is>
      </c>
      <c r="C179" s="10" t="inlineStr">
        <is>
          <t>ਜਾਂਗੋਵਾਲ ਬਾਂਗਰ</t>
        </is>
      </c>
      <c r="D179" s="16" t="inlineStr">
        <is>
          <t>Lost Both Times (Deficit)</t>
        </is>
      </c>
      <c r="E179" s="12" t="n">
        <v>150</v>
      </c>
      <c r="F179" s="13">
        <f>150/691</f>
        <v/>
      </c>
      <c r="G179" s="14" t="inlineStr">
        <is>
          <t>INC</t>
        </is>
      </c>
      <c r="H179" s="12" t="n">
        <v>161</v>
      </c>
      <c r="I179" s="13">
        <f>161/630</f>
        <v/>
      </c>
      <c r="J179" s="14" t="inlineStr">
        <is>
          <t>INC</t>
        </is>
      </c>
      <c r="K179" s="12" t="n">
        <v>11</v>
      </c>
      <c r="L179" s="15">
        <f>I179-F179</f>
        <v/>
      </c>
      <c r="M179" s="12" t="n">
        <v>168</v>
      </c>
      <c r="N179" s="12" t="n">
        <v>630</v>
      </c>
    </row>
    <row r="180" ht="20" customHeight="1">
      <c r="A180" s="2" t="n">
        <v>179</v>
      </c>
      <c r="B180" s="3" t="inlineStr">
        <is>
          <t>Kiri Afghana</t>
        </is>
      </c>
      <c r="C180" s="3" t="inlineStr">
        <is>
          <t>ਕੀੜੀ ਅਫਗਾਨਾ</t>
        </is>
      </c>
      <c r="D180" s="11" t="inlineStr">
        <is>
          <t>Won Both Times (Stronghold)</t>
        </is>
      </c>
      <c r="E180" s="5" t="n">
        <v>185</v>
      </c>
      <c r="F180" s="6">
        <f>185/522</f>
        <v/>
      </c>
      <c r="G180" s="7" t="inlineStr">
        <is>
          <t>AAP</t>
        </is>
      </c>
      <c r="H180" s="5" t="n">
        <v>163</v>
      </c>
      <c r="I180" s="6">
        <f>163/441</f>
        <v/>
      </c>
      <c r="J180" s="7" t="inlineStr">
        <is>
          <t>AAP</t>
        </is>
      </c>
      <c r="K180" s="5" t="n">
        <v>-22</v>
      </c>
      <c r="L180" s="8">
        <f>I180-F180</f>
        <v/>
      </c>
      <c r="M180" s="5" t="n">
        <v>22</v>
      </c>
      <c r="N180" s="5" t="n">
        <v>441</v>
      </c>
    </row>
    <row r="181" ht="20" customHeight="1">
      <c r="A181" s="9" t="n">
        <v>180</v>
      </c>
      <c r="B181" s="10" t="inlineStr">
        <is>
          <t>Kotli Harchanda</t>
        </is>
      </c>
      <c r="C181" s="10" t="inlineStr">
        <is>
          <t>ਕੋਟਲੀ ਹਰਚੰਦਾ</t>
        </is>
      </c>
      <c r="D181" s="17" t="inlineStr">
        <is>
          <t>Weak Booth (&lt; 20% Share)</t>
        </is>
      </c>
      <c r="E181" s="12" t="n">
        <v>131</v>
      </c>
      <c r="F181" s="13">
        <f>131/418</f>
        <v/>
      </c>
      <c r="G181" s="14" t="inlineStr">
        <is>
          <t>INC</t>
        </is>
      </c>
      <c r="H181" s="12" t="n">
        <v>37</v>
      </c>
      <c r="I181" s="13">
        <f>37/418</f>
        <v/>
      </c>
      <c r="J181" s="14" t="inlineStr">
        <is>
          <t>BJP</t>
        </is>
      </c>
      <c r="K181" s="12" t="n">
        <v>-94</v>
      </c>
      <c r="L181" s="15">
        <f>I181-F181</f>
        <v/>
      </c>
      <c r="M181" s="12" t="n">
        <v>227</v>
      </c>
      <c r="N181" s="12" t="n">
        <v>418</v>
      </c>
    </row>
    <row r="182" ht="20" customHeight="1">
      <c r="A182" s="2" t="n">
        <v>181</v>
      </c>
      <c r="B182" s="3" t="inlineStr">
        <is>
          <t>Kotli Harchanda</t>
        </is>
      </c>
      <c r="C182" s="3" t="inlineStr">
        <is>
          <t>ਕੋਟਲੀ ਹਰਚੰਦਾ</t>
        </is>
      </c>
      <c r="D182" s="18" t="inlineStr">
        <is>
          <t>Lost in 2024 (to INC)</t>
        </is>
      </c>
      <c r="E182" s="5" t="n">
        <v>133</v>
      </c>
      <c r="F182" s="6">
        <f>133/398</f>
        <v/>
      </c>
      <c r="G182" s="7" t="inlineStr">
        <is>
          <t>AAP</t>
        </is>
      </c>
      <c r="H182" s="5" t="n">
        <v>97</v>
      </c>
      <c r="I182" s="6">
        <f>97/343</f>
        <v/>
      </c>
      <c r="J182" s="7" t="inlineStr">
        <is>
          <t>INC</t>
        </is>
      </c>
      <c r="K182" s="5" t="n">
        <v>-36</v>
      </c>
      <c r="L182" s="8">
        <f>I182-F182</f>
        <v/>
      </c>
      <c r="M182" s="5" t="n">
        <v>23</v>
      </c>
      <c r="N182" s="5" t="n">
        <v>343</v>
      </c>
    </row>
    <row r="183" ht="20" customHeight="1">
      <c r="A183" s="9" t="n">
        <v>182</v>
      </c>
      <c r="B183" s="10" t="inlineStr">
        <is>
          <t>Ghukkan</t>
        </is>
      </c>
      <c r="C183" s="10" t="inlineStr">
        <is>
          <t>ਘੁੱਕਲਾਂ</t>
        </is>
      </c>
      <c r="D183" s="17" t="inlineStr">
        <is>
          <t>Weak Booth (&lt; 20% Share)</t>
        </is>
      </c>
      <c r="E183" s="12" t="n">
        <v>76</v>
      </c>
      <c r="F183" s="13">
        <f>76/238</f>
        <v/>
      </c>
      <c r="G183" s="14" t="inlineStr">
        <is>
          <t>INC</t>
        </is>
      </c>
      <c r="H183" s="12" t="n">
        <v>34</v>
      </c>
      <c r="I183" s="13">
        <f>34/232</f>
        <v/>
      </c>
      <c r="J183" s="14" t="inlineStr">
        <is>
          <t>BJP</t>
        </is>
      </c>
      <c r="K183" s="12" t="n">
        <v>-42</v>
      </c>
      <c r="L183" s="15">
        <f>I183-F183</f>
        <v/>
      </c>
      <c r="M183" s="12" t="n">
        <v>101</v>
      </c>
      <c r="N183" s="12" t="n">
        <v>232</v>
      </c>
    </row>
    <row r="184" ht="20" customHeight="1">
      <c r="A184" s="2" t="n">
        <v>183</v>
      </c>
      <c r="B184" s="3" t="inlineStr">
        <is>
          <t>Jalalpur</t>
        </is>
      </c>
      <c r="C184" s="3" t="inlineStr">
        <is>
          <t>ਜਲਾਲਪੁਰ</t>
        </is>
      </c>
      <c r="D184" s="16" t="inlineStr">
        <is>
          <t>Lost Both Times (Deficit)</t>
        </is>
      </c>
      <c r="E184" s="5" t="n">
        <v>131</v>
      </c>
      <c r="F184" s="6">
        <f>131/549</f>
        <v/>
      </c>
      <c r="G184" s="7" t="inlineStr">
        <is>
          <t>INC</t>
        </is>
      </c>
      <c r="H184" s="5" t="n">
        <v>185</v>
      </c>
      <c r="I184" s="6">
        <f>185/546</f>
        <v/>
      </c>
      <c r="J184" s="7" t="inlineStr">
        <is>
          <t>INC</t>
        </is>
      </c>
      <c r="K184" s="5" t="n">
        <v>54</v>
      </c>
      <c r="L184" s="8">
        <f>I184-F184</f>
        <v/>
      </c>
      <c r="M184" s="5" t="n">
        <v>12</v>
      </c>
      <c r="N184" s="5" t="n">
        <v>546</v>
      </c>
    </row>
    <row r="185" ht="20" customHeight="1">
      <c r="A185" s="9" t="n">
        <v>184</v>
      </c>
      <c r="B185" s="10" t="inlineStr">
        <is>
          <t>Bagol</t>
        </is>
      </c>
      <c r="C185" s="10" t="inlineStr">
        <is>
          <t>ਬਗੋਲ</t>
        </is>
      </c>
      <c r="D185" s="18" t="inlineStr">
        <is>
          <t>Lost in 2024 (to BJP)</t>
        </is>
      </c>
      <c r="E185" s="12" t="n">
        <v>295</v>
      </c>
      <c r="F185" s="13">
        <f>295/728</f>
        <v/>
      </c>
      <c r="G185" s="14" t="inlineStr">
        <is>
          <t>AAP</t>
        </is>
      </c>
      <c r="H185" s="12" t="n">
        <v>190</v>
      </c>
      <c r="I185" s="13">
        <f>190/659</f>
        <v/>
      </c>
      <c r="J185" s="14" t="inlineStr">
        <is>
          <t>BJP</t>
        </is>
      </c>
      <c r="K185" s="12" t="n">
        <v>-105</v>
      </c>
      <c r="L185" s="15">
        <f>I185-F185</f>
        <v/>
      </c>
      <c r="M185" s="12" t="n">
        <v>135</v>
      </c>
      <c r="N185" s="12" t="n">
        <v>659</v>
      </c>
    </row>
    <row r="186" ht="20" customHeight="1">
      <c r="A186" s="2" t="n">
        <v>185</v>
      </c>
      <c r="B186" s="3" t="inlineStr">
        <is>
          <t>Lakhanpur</t>
        </is>
      </c>
      <c r="C186" s="3" t="inlineStr">
        <is>
          <t>ਲਖਣਪੁਰ</t>
        </is>
      </c>
      <c r="D186" s="17" t="inlineStr">
        <is>
          <t>Weak Booth (&lt; 20% Share)</t>
        </is>
      </c>
      <c r="E186" s="5" t="n">
        <v>128</v>
      </c>
      <c r="F186" s="6">
        <f>128/443</f>
        <v/>
      </c>
      <c r="G186" s="7" t="inlineStr">
        <is>
          <t>INC</t>
        </is>
      </c>
      <c r="H186" s="5" t="n">
        <v>68</v>
      </c>
      <c r="I186" s="6">
        <f>68/379</f>
        <v/>
      </c>
      <c r="J186" s="7" t="inlineStr">
        <is>
          <t>INC</t>
        </is>
      </c>
      <c r="K186" s="5" t="n">
        <v>-60</v>
      </c>
      <c r="L186" s="8">
        <f>I186-F186</f>
        <v/>
      </c>
      <c r="M186" s="5" t="n">
        <v>61</v>
      </c>
      <c r="N186" s="5" t="n">
        <v>379</v>
      </c>
    </row>
    <row r="187" ht="20" customHeight="1">
      <c r="A187" s="9" t="n">
        <v>186</v>
      </c>
      <c r="B187" s="10" t="inlineStr">
        <is>
          <t>Tugalwal</t>
        </is>
      </c>
      <c r="C187" s="10" t="inlineStr">
        <is>
          <t>ਤੁਗਲਵਾਲ</t>
        </is>
      </c>
      <c r="D187" s="18" t="inlineStr">
        <is>
          <t>Lost in 2024 (to INC)</t>
        </is>
      </c>
      <c r="E187" s="12" t="n">
        <v>252</v>
      </c>
      <c r="F187" s="13">
        <f>252/648</f>
        <v/>
      </c>
      <c r="G187" s="14" t="inlineStr">
        <is>
          <t>AAP</t>
        </is>
      </c>
      <c r="H187" s="12" t="n">
        <v>132</v>
      </c>
      <c r="I187" s="13">
        <f>132/527</f>
        <v/>
      </c>
      <c r="J187" s="14" t="inlineStr">
        <is>
          <t>INC</t>
        </is>
      </c>
      <c r="K187" s="12" t="n">
        <v>-120</v>
      </c>
      <c r="L187" s="15">
        <f>I187-F187</f>
        <v/>
      </c>
      <c r="M187" s="12" t="n">
        <v>13</v>
      </c>
      <c r="N187" s="12" t="n">
        <v>527</v>
      </c>
    </row>
    <row r="188" ht="20" customHeight="1">
      <c r="A188" s="2" t="n">
        <v>187</v>
      </c>
      <c r="B188" s="3" t="inlineStr">
        <is>
          <t>Tugalwal</t>
        </is>
      </c>
      <c r="C188" s="3" t="inlineStr">
        <is>
          <t>ਤੁਗਲਵਾਲ</t>
        </is>
      </c>
      <c r="D188" s="11" t="inlineStr">
        <is>
          <t>Won Both Times (Stronghold)</t>
        </is>
      </c>
      <c r="E188" s="5" t="n">
        <v>249</v>
      </c>
      <c r="F188" s="6">
        <f>249/708</f>
        <v/>
      </c>
      <c r="G188" s="7" t="inlineStr">
        <is>
          <t>AAP</t>
        </is>
      </c>
      <c r="H188" s="5" t="n">
        <v>218</v>
      </c>
      <c r="I188" s="6">
        <f>218/591</f>
        <v/>
      </c>
      <c r="J188" s="7" t="inlineStr">
        <is>
          <t>AAP</t>
        </is>
      </c>
      <c r="K188" s="5" t="n">
        <v>-31</v>
      </c>
      <c r="L188" s="8">
        <f>I188-F188</f>
        <v/>
      </c>
      <c r="M188" s="5" t="n">
        <v>48</v>
      </c>
      <c r="N188" s="5" t="n">
        <v>591</v>
      </c>
    </row>
    <row r="189" ht="20" customHeight="1">
      <c r="A189" s="9" t="n">
        <v>188</v>
      </c>
      <c r="B189" s="10" t="inlineStr">
        <is>
          <t>Tugalwal</t>
        </is>
      </c>
      <c r="C189" s="10" t="inlineStr">
        <is>
          <t>ਤੁਗਲਵਾਲ</t>
        </is>
      </c>
      <c r="D189" s="18" t="inlineStr">
        <is>
          <t>Lost in 2024 (to INC)</t>
        </is>
      </c>
      <c r="E189" s="12" t="n">
        <v>300</v>
      </c>
      <c r="F189" s="13">
        <f>300/607</f>
        <v/>
      </c>
      <c r="G189" s="14" t="inlineStr">
        <is>
          <t>AAP</t>
        </is>
      </c>
      <c r="H189" s="12" t="n">
        <v>141</v>
      </c>
      <c r="I189" s="13">
        <f>141/528</f>
        <v/>
      </c>
      <c r="J189" s="14" t="inlineStr">
        <is>
          <t>INC</t>
        </is>
      </c>
      <c r="K189" s="12" t="n">
        <v>-159</v>
      </c>
      <c r="L189" s="15">
        <f>I189-F189</f>
        <v/>
      </c>
      <c r="M189" s="12" t="n">
        <v>28</v>
      </c>
      <c r="N189" s="12" t="n">
        <v>528</v>
      </c>
    </row>
    <row r="190" ht="20" customHeight="1">
      <c r="A190" s="2" t="n">
        <v>189</v>
      </c>
      <c r="B190" s="3" t="inlineStr">
        <is>
          <t>Seeh Bhatti</t>
        </is>
      </c>
      <c r="C190" s="3" t="inlineStr">
        <is>
          <t>ਸੀਂਹ ਭੱਟੀ</t>
        </is>
      </c>
      <c r="D190" s="16" t="inlineStr">
        <is>
          <t>Lost Both Times (Deficit)</t>
        </is>
      </c>
      <c r="E190" s="5" t="n">
        <v>90</v>
      </c>
      <c r="F190" s="6">
        <f>90/370</f>
        <v/>
      </c>
      <c r="G190" s="7" t="inlineStr">
        <is>
          <t>INC</t>
        </is>
      </c>
      <c r="H190" s="5" t="n">
        <v>79</v>
      </c>
      <c r="I190" s="6">
        <f>79/312</f>
        <v/>
      </c>
      <c r="J190" s="7" t="inlineStr">
        <is>
          <t>INC</t>
        </is>
      </c>
      <c r="K190" s="5" t="n">
        <v>-11</v>
      </c>
      <c r="L190" s="8">
        <f>I190-F190</f>
        <v/>
      </c>
      <c r="M190" s="5" t="n">
        <v>66</v>
      </c>
      <c r="N190" s="5" t="n">
        <v>312</v>
      </c>
    </row>
    <row r="191" ht="20" customHeight="1">
      <c r="A191" s="9" t="n">
        <v>190</v>
      </c>
      <c r="B191" s="10" t="inlineStr">
        <is>
          <t>Seeh Bhatti</t>
        </is>
      </c>
      <c r="C191" s="10" t="inlineStr">
        <is>
          <t>ਸੀਂਹ ਭੱਟੀ</t>
        </is>
      </c>
      <c r="D191" s="4" t="inlineStr">
        <is>
          <t>Gained in 2024 (New Win)</t>
        </is>
      </c>
      <c r="E191" s="12" t="n">
        <v>136</v>
      </c>
      <c r="F191" s="13">
        <f>136/538</f>
        <v/>
      </c>
      <c r="G191" s="14" t="inlineStr">
        <is>
          <t>SAD</t>
        </is>
      </c>
      <c r="H191" s="12" t="n">
        <v>151</v>
      </c>
      <c r="I191" s="13">
        <f>151/470</f>
        <v/>
      </c>
      <c r="J191" s="14" t="inlineStr">
        <is>
          <t>AAP</t>
        </is>
      </c>
      <c r="K191" s="12" t="n">
        <v>15</v>
      </c>
      <c r="L191" s="15">
        <f>I191-F191</f>
        <v/>
      </c>
      <c r="M191" s="12" t="n">
        <v>21</v>
      </c>
      <c r="N191" s="12" t="n">
        <v>470</v>
      </c>
    </row>
    <row r="192" ht="20" customHeight="1">
      <c r="A192" s="2" t="n">
        <v>191</v>
      </c>
      <c r="B192" s="3" t="inlineStr">
        <is>
          <t>Beri</t>
        </is>
      </c>
      <c r="C192" s="3" t="inlineStr">
        <is>
          <t>ਬੇਰੀ</t>
        </is>
      </c>
      <c r="D192" s="11" t="inlineStr">
        <is>
          <t>Won Both Times (Stronghold)</t>
        </is>
      </c>
      <c r="E192" s="5" t="n">
        <v>176</v>
      </c>
      <c r="F192" s="6">
        <f>176/514</f>
        <v/>
      </c>
      <c r="G192" s="7" t="inlineStr">
        <is>
          <t>AAP</t>
        </is>
      </c>
      <c r="H192" s="5" t="n">
        <v>177</v>
      </c>
      <c r="I192" s="6">
        <f>177/467</f>
        <v/>
      </c>
      <c r="J192" s="7" t="inlineStr">
        <is>
          <t>AAP</t>
        </is>
      </c>
      <c r="K192" s="5" t="n">
        <v>1</v>
      </c>
      <c r="L192" s="8">
        <f>I192-F192</f>
        <v/>
      </c>
      <c r="M192" s="5" t="n">
        <v>49</v>
      </c>
      <c r="N192" s="5" t="n">
        <v>467</v>
      </c>
    </row>
    <row r="193" ht="20" customHeight="1">
      <c r="A193" s="9" t="n">
        <v>192</v>
      </c>
      <c r="B193" s="10" t="inlineStr">
        <is>
          <t>Beri</t>
        </is>
      </c>
      <c r="C193" s="10" t="inlineStr">
        <is>
          <t>ਬੇਰੀ</t>
        </is>
      </c>
      <c r="D193" s="18" t="inlineStr">
        <is>
          <t>Lost in 2024 (to SAD)</t>
        </is>
      </c>
      <c r="E193" s="12" t="n">
        <v>259</v>
      </c>
      <c r="F193" s="13">
        <f>259/524</f>
        <v/>
      </c>
      <c r="G193" s="14" t="inlineStr">
        <is>
          <t>AAP</t>
        </is>
      </c>
      <c r="H193" s="12" t="n">
        <v>136</v>
      </c>
      <c r="I193" s="13">
        <f>136/437</f>
        <v/>
      </c>
      <c r="J193" s="14" t="inlineStr">
        <is>
          <t>SAD</t>
        </is>
      </c>
      <c r="K193" s="12" t="n">
        <v>-123</v>
      </c>
      <c r="L193" s="15">
        <f>I193-F193</f>
        <v/>
      </c>
      <c r="M193" s="12" t="n">
        <v>1</v>
      </c>
      <c r="N193" s="12" t="n">
        <v>437</v>
      </c>
    </row>
    <row r="194" ht="20" customHeight="1">
      <c r="A194" s="2" t="n">
        <v>193</v>
      </c>
      <c r="B194" s="3" t="inlineStr">
        <is>
          <t>Thakkarwal</t>
        </is>
      </c>
      <c r="C194" s="3" t="inlineStr">
        <is>
          <t>ਠੱਕਰਵਾਲ</t>
        </is>
      </c>
      <c r="D194" s="18" t="inlineStr">
        <is>
          <t>Lost in 2024 (to INC)</t>
        </is>
      </c>
      <c r="E194" s="5" t="n">
        <v>102</v>
      </c>
      <c r="F194" s="6">
        <f>102/277</f>
        <v/>
      </c>
      <c r="G194" s="7" t="inlineStr">
        <is>
          <t>AAP</t>
        </is>
      </c>
      <c r="H194" s="5" t="n">
        <v>32</v>
      </c>
      <c r="I194" s="6">
        <f>32/243</f>
        <v/>
      </c>
      <c r="J194" s="7" t="inlineStr">
        <is>
          <t>INC</t>
        </is>
      </c>
      <c r="K194" s="5" t="n">
        <v>-70</v>
      </c>
      <c r="L194" s="8">
        <f>I194-F194</f>
        <v/>
      </c>
      <c r="M194" s="5" t="n">
        <v>33</v>
      </c>
      <c r="N194" s="5" t="n">
        <v>243</v>
      </c>
    </row>
    <row r="195" ht="20" customHeight="1">
      <c r="A195" s="9" t="n">
        <v>194</v>
      </c>
      <c r="B195" s="10" t="inlineStr">
        <is>
          <t>Sooch</t>
        </is>
      </c>
      <c r="C195" s="10" t="inlineStr">
        <is>
          <t>ਸੂਚ</t>
        </is>
      </c>
      <c r="D195" s="18" t="inlineStr">
        <is>
          <t>Lost in 2024 (to INC)</t>
        </is>
      </c>
      <c r="E195" s="12" t="n">
        <v>158</v>
      </c>
      <c r="F195" s="13">
        <f>158/397</f>
        <v/>
      </c>
      <c r="G195" s="14" t="inlineStr">
        <is>
          <t>AAP</t>
        </is>
      </c>
      <c r="H195" s="12" t="n">
        <v>114</v>
      </c>
      <c r="I195" s="13">
        <f>114/402</f>
        <v/>
      </c>
      <c r="J195" s="14" t="inlineStr">
        <is>
          <t>INC</t>
        </is>
      </c>
      <c r="K195" s="12" t="n">
        <v>-44</v>
      </c>
      <c r="L195" s="15">
        <f>I195-F195</f>
        <v/>
      </c>
      <c r="M195" s="12" t="n">
        <v>5</v>
      </c>
      <c r="N195" s="12" t="n">
        <v>402</v>
      </c>
    </row>
    <row r="196" ht="20" customHeight="1">
      <c r="A196" s="2" t="n">
        <v>195</v>
      </c>
      <c r="B196" s="3" t="inlineStr">
        <is>
          <t>Datarpur, Bhochna</t>
        </is>
      </c>
      <c r="C196" s="3" t="inlineStr">
        <is>
          <t>ਦਤਾਰਪੁਰ, ਭੋਚਨਾ</t>
        </is>
      </c>
      <c r="D196" s="4" t="inlineStr">
        <is>
          <t>Gained in 2024 (New Win)</t>
        </is>
      </c>
      <c r="E196" s="5" t="n">
        <v>202</v>
      </c>
      <c r="F196" s="6">
        <f>202/593</f>
        <v/>
      </c>
      <c r="G196" s="7" t="inlineStr">
        <is>
          <t>INC</t>
        </is>
      </c>
      <c r="H196" s="5" t="n">
        <v>183</v>
      </c>
      <c r="I196" s="6">
        <f>183/560</f>
        <v/>
      </c>
      <c r="J196" s="7" t="inlineStr">
        <is>
          <t>AAP</t>
        </is>
      </c>
      <c r="K196" s="5" t="n">
        <v>-19</v>
      </c>
      <c r="L196" s="8">
        <f>I196-F196</f>
        <v/>
      </c>
      <c r="M196" s="5" t="n">
        <v>15</v>
      </c>
      <c r="N196" s="5" t="n">
        <v>560</v>
      </c>
    </row>
    <row r="197" ht="20" customHeight="1">
      <c r="A197" s="9" t="n">
        <v>196</v>
      </c>
      <c r="B197" s="10" t="inlineStr">
        <is>
          <t>Kot Khan Mohammad</t>
        </is>
      </c>
      <c r="C197" s="10" t="inlineStr">
        <is>
          <t>ਕੋਟ ਖਾਨ ਮੁਹੰਮਦ</t>
        </is>
      </c>
      <c r="D197" s="16" t="inlineStr">
        <is>
          <t>Lost Both Times (Deficit)</t>
        </is>
      </c>
      <c r="E197" s="12" t="n">
        <v>191</v>
      </c>
      <c r="F197" s="13">
        <f>191/674</f>
        <v/>
      </c>
      <c r="G197" s="14" t="inlineStr">
        <is>
          <t>INC</t>
        </is>
      </c>
      <c r="H197" s="12" t="n">
        <v>170</v>
      </c>
      <c r="I197" s="13">
        <f>170/592</f>
        <v/>
      </c>
      <c r="J197" s="14" t="inlineStr">
        <is>
          <t>INC</t>
        </is>
      </c>
      <c r="K197" s="12" t="n">
        <v>-21</v>
      </c>
      <c r="L197" s="15">
        <f>I197-F197</f>
        <v/>
      </c>
      <c r="M197" s="12" t="n">
        <v>16</v>
      </c>
      <c r="N197" s="12" t="n">
        <v>592</v>
      </c>
    </row>
    <row r="198" ht="20" customHeight="1">
      <c r="A198" s="2" t="n">
        <v>197</v>
      </c>
      <c r="B198" s="3" t="inlineStr">
        <is>
          <t>Ferochechi</t>
        </is>
      </c>
      <c r="C198" s="3" t="inlineStr">
        <is>
          <t>ਫੇਰੋਚੇਚੀ</t>
        </is>
      </c>
      <c r="D198" s="16" t="inlineStr">
        <is>
          <t>Lost Both Times (Deficit)</t>
        </is>
      </c>
      <c r="E198" s="5" t="n">
        <v>222</v>
      </c>
      <c r="F198" s="6">
        <f>222/714</f>
        <v/>
      </c>
      <c r="G198" s="7" t="inlineStr">
        <is>
          <t>INC</t>
        </is>
      </c>
      <c r="H198" s="5" t="n">
        <v>219</v>
      </c>
      <c r="I198" s="6">
        <f>219/659</f>
        <v/>
      </c>
      <c r="J198" s="7" t="inlineStr">
        <is>
          <t>INC</t>
        </is>
      </c>
      <c r="K198" s="5" t="n">
        <v>-3</v>
      </c>
      <c r="L198" s="8">
        <f>I198-F198</f>
        <v/>
      </c>
      <c r="M198" s="5" t="n">
        <v>96</v>
      </c>
      <c r="N198" s="5" t="n">
        <v>659</v>
      </c>
    </row>
    <row r="199" ht="20" customHeight="1">
      <c r="A199" s="9" t="n">
        <v>198</v>
      </c>
      <c r="B199" s="10" t="inlineStr">
        <is>
          <t>Jeendarh</t>
        </is>
      </c>
      <c r="C199" s="10" t="inlineStr">
        <is>
          <t>ਜੀਂਦੜ</t>
        </is>
      </c>
      <c r="D199" s="16" t="inlineStr">
        <is>
          <t>Lost Both Times (Deficit)</t>
        </is>
      </c>
      <c r="E199" s="12" t="n">
        <v>126</v>
      </c>
      <c r="F199" s="13">
        <f>126/657</f>
        <v/>
      </c>
      <c r="G199" s="14" t="inlineStr">
        <is>
          <t>INC</t>
        </is>
      </c>
      <c r="H199" s="12" t="n">
        <v>137</v>
      </c>
      <c r="I199" s="13">
        <f>137/546</f>
        <v/>
      </c>
      <c r="J199" s="14" t="inlineStr">
        <is>
          <t>INC</t>
        </is>
      </c>
      <c r="K199" s="12" t="n">
        <v>11</v>
      </c>
      <c r="L199" s="15">
        <f>I199-F199</f>
        <v/>
      </c>
      <c r="M199" s="12" t="n">
        <v>110</v>
      </c>
      <c r="N199" s="12" t="n">
        <v>546</v>
      </c>
    </row>
    <row r="200" ht="20" customHeight="1">
      <c r="A200" s="2" t="n">
        <v>199</v>
      </c>
      <c r="B200" s="3" t="inlineStr">
        <is>
          <t>Ghorewah</t>
        </is>
      </c>
      <c r="C200" s="3" t="inlineStr">
        <is>
          <t>ਘੋੜੇਵਾਹ</t>
        </is>
      </c>
      <c r="D200" s="16" t="inlineStr">
        <is>
          <t>Lost Both Times (Deficit)</t>
        </is>
      </c>
      <c r="E200" s="5" t="n">
        <v>166</v>
      </c>
      <c r="F200" s="6">
        <f>166/618</f>
        <v/>
      </c>
      <c r="G200" s="7" t="inlineStr">
        <is>
          <t>INC</t>
        </is>
      </c>
      <c r="H200" s="5" t="n">
        <v>117</v>
      </c>
      <c r="I200" s="6">
        <f>117/545</f>
        <v/>
      </c>
      <c r="J200" s="7" t="inlineStr">
        <is>
          <t>INC</t>
        </is>
      </c>
      <c r="K200" s="5" t="n">
        <v>-49</v>
      </c>
      <c r="L200" s="8">
        <f>I200-F200</f>
        <v/>
      </c>
      <c r="M200" s="5" t="n">
        <v>46</v>
      </c>
      <c r="N200" s="5" t="n">
        <v>545</v>
      </c>
    </row>
    <row r="201" ht="20" customHeight="1">
      <c r="A201" s="9" t="n">
        <v>200</v>
      </c>
      <c r="B201" s="10" t="inlineStr">
        <is>
          <t>Gorsian</t>
        </is>
      </c>
      <c r="C201" s="10" t="inlineStr">
        <is>
          <t>ਗੋਰਸੀਆਂ</t>
        </is>
      </c>
      <c r="D201" s="16" t="inlineStr">
        <is>
          <t>Lost Both Times (Deficit)</t>
        </is>
      </c>
      <c r="E201" s="12" t="n">
        <v>131</v>
      </c>
      <c r="F201" s="13">
        <f>131/452</f>
        <v/>
      </c>
      <c r="G201" s="14" t="inlineStr">
        <is>
          <t>INC</t>
        </is>
      </c>
      <c r="H201" s="12" t="n">
        <v>121</v>
      </c>
      <c r="I201" s="13">
        <f>121/411</f>
        <v/>
      </c>
      <c r="J201" s="14" t="inlineStr">
        <is>
          <t>INC</t>
        </is>
      </c>
      <c r="K201" s="12" t="n">
        <v>-10</v>
      </c>
      <c r="L201" s="15">
        <f>I201-F201</f>
        <v/>
      </c>
      <c r="M201" s="12" t="n">
        <v>32</v>
      </c>
      <c r="N201" s="12" t="n">
        <v>411</v>
      </c>
    </row>
    <row r="202" ht="20" customHeight="1">
      <c r="A202" s="2" t="n">
        <v>201</v>
      </c>
      <c r="B202" s="3" t="inlineStr">
        <is>
          <t>Nanowal Khurd</t>
        </is>
      </c>
      <c r="C202" s="3" t="inlineStr">
        <is>
          <t>ਨਾਨੋਵਾਲ ਖੁਰਦ</t>
        </is>
      </c>
      <c r="D202" s="4" t="inlineStr">
        <is>
          <t>Gained in 2024 (New Win)</t>
        </is>
      </c>
      <c r="E202" s="5" t="n">
        <v>192</v>
      </c>
      <c r="F202" s="6">
        <f>192/635</f>
        <v/>
      </c>
      <c r="G202" s="7" t="inlineStr">
        <is>
          <t>SAD</t>
        </is>
      </c>
      <c r="H202" s="5" t="n">
        <v>189</v>
      </c>
      <c r="I202" s="6">
        <f>189/525</f>
        <v/>
      </c>
      <c r="J202" s="7" t="inlineStr">
        <is>
          <t>AAP</t>
        </is>
      </c>
      <c r="K202" s="5" t="n">
        <v>-3</v>
      </c>
      <c r="L202" s="8">
        <f>I202-F202</f>
        <v/>
      </c>
      <c r="M202" s="5" t="n">
        <v>1</v>
      </c>
      <c r="N202" s="5" t="n">
        <v>525</v>
      </c>
    </row>
    <row r="203" ht="20" customHeight="1">
      <c r="A203" s="9" t="n">
        <v>202</v>
      </c>
      <c r="B203" s="10" t="inlineStr">
        <is>
          <t>Mehrey</t>
        </is>
      </c>
      <c r="C203" s="10" t="inlineStr">
        <is>
          <t>ਮੈਹੜੇ</t>
        </is>
      </c>
      <c r="D203" s="4" t="inlineStr">
        <is>
          <t>Gained in 2024 (New Win)</t>
        </is>
      </c>
      <c r="E203" s="12" t="n">
        <v>112</v>
      </c>
      <c r="F203" s="13">
        <f>112/420</f>
        <v/>
      </c>
      <c r="G203" s="14" t="inlineStr">
        <is>
          <t>SAD</t>
        </is>
      </c>
      <c r="H203" s="12" t="n">
        <v>119</v>
      </c>
      <c r="I203" s="13">
        <f>119/354</f>
        <v/>
      </c>
      <c r="J203" s="14" t="inlineStr">
        <is>
          <t>AAP</t>
        </is>
      </c>
      <c r="K203" s="12" t="n">
        <v>7</v>
      </c>
      <c r="L203" s="15">
        <f>I203-F203</f>
        <v/>
      </c>
      <c r="M203" s="12" t="n">
        <v>2</v>
      </c>
      <c r="N203" s="12" t="n">
        <v>354</v>
      </c>
    </row>
    <row r="204" ht="20" customHeight="1">
      <c r="A204" s="2" t="n">
        <v>203</v>
      </c>
      <c r="B204" s="3" t="inlineStr">
        <is>
          <t>Bhaini Mian Khan</t>
        </is>
      </c>
      <c r="C204" s="3" t="inlineStr">
        <is>
          <t>ਭੈਣੀ ਮੀਆਂ ਖਾਂ</t>
        </is>
      </c>
      <c r="D204" s="4" t="inlineStr">
        <is>
          <t>Gained in 2024 (New Win)</t>
        </is>
      </c>
      <c r="E204" s="5" t="n">
        <v>170</v>
      </c>
      <c r="F204" s="6">
        <f>170/865</f>
        <v/>
      </c>
      <c r="G204" s="7" t="inlineStr">
        <is>
          <t>INC</t>
        </is>
      </c>
      <c r="H204" s="5" t="n">
        <v>310</v>
      </c>
      <c r="I204" s="6">
        <f>310/788</f>
        <v/>
      </c>
      <c r="J204" s="7" t="inlineStr">
        <is>
          <t>AAP</t>
        </is>
      </c>
      <c r="K204" s="5" t="n">
        <v>140</v>
      </c>
      <c r="L204" s="8">
        <f>I204-F204</f>
        <v/>
      </c>
      <c r="M204" s="5" t="n">
        <v>116</v>
      </c>
      <c r="N204" s="5" t="n">
        <v>788</v>
      </c>
    </row>
    <row r="205" ht="20" customHeight="1">
      <c r="A205" s="9" t="n">
        <v>204</v>
      </c>
      <c r="B205" s="10" t="inlineStr">
        <is>
          <t>Bhaini Mian Khan</t>
        </is>
      </c>
      <c r="C205" s="10" t="inlineStr">
        <is>
          <t>ਭੈਣੀ ਮੀਆਂ ਖਾਂ</t>
        </is>
      </c>
      <c r="D205" s="16" t="inlineStr">
        <is>
          <t>Lost Both Times (Deficit)</t>
        </is>
      </c>
      <c r="E205" s="12" t="n">
        <v>225</v>
      </c>
      <c r="F205" s="13">
        <f>225/852</f>
        <v/>
      </c>
      <c r="G205" s="14" t="inlineStr">
        <is>
          <t>INC</t>
        </is>
      </c>
      <c r="H205" s="12" t="n">
        <v>192</v>
      </c>
      <c r="I205" s="13">
        <f>192/736</f>
        <v/>
      </c>
      <c r="J205" s="14" t="inlineStr">
        <is>
          <t>INC</t>
        </is>
      </c>
      <c r="K205" s="12" t="n">
        <v>-33</v>
      </c>
      <c r="L205" s="15">
        <f>I205-F205</f>
        <v/>
      </c>
      <c r="M205" s="12" t="n">
        <v>25</v>
      </c>
      <c r="N205" s="12" t="n">
        <v>736</v>
      </c>
    </row>
    <row r="206" ht="20" customHeight="1">
      <c r="A206" s="2" t="n">
        <v>205</v>
      </c>
      <c r="B206" s="3" t="inlineStr">
        <is>
          <t>Jhanda Lubana</t>
        </is>
      </c>
      <c r="C206" s="3" t="inlineStr">
        <is>
          <t>ਝੰਡਾ ਲੁਬਾਣਾ</t>
        </is>
      </c>
      <c r="D206" s="4" t="inlineStr">
        <is>
          <t>Gained in 2024 (New Win)</t>
        </is>
      </c>
      <c r="E206" s="5" t="n">
        <v>128</v>
      </c>
      <c r="F206" s="6">
        <f>128/613</f>
        <v/>
      </c>
      <c r="G206" s="7" t="inlineStr">
        <is>
          <t>SAD</t>
        </is>
      </c>
      <c r="H206" s="5" t="n">
        <v>238</v>
      </c>
      <c r="I206" s="6">
        <f>238/547</f>
        <v/>
      </c>
      <c r="J206" s="7" t="inlineStr">
        <is>
          <t>AAP</t>
        </is>
      </c>
      <c r="K206" s="5" t="n">
        <v>110</v>
      </c>
      <c r="L206" s="8">
        <f>I206-F206</f>
        <v/>
      </c>
      <c r="M206" s="5" t="n">
        <v>44</v>
      </c>
      <c r="N206" s="5" t="n">
        <v>547</v>
      </c>
    </row>
    <row r="207" ht="20" customHeight="1">
      <c r="A207" s="9" t="n">
        <v>206</v>
      </c>
      <c r="B207" s="10" t="inlineStr">
        <is>
          <t>Jhanda Lubana</t>
        </is>
      </c>
      <c r="C207" s="10" t="inlineStr">
        <is>
          <t>ਝੰਡਾ ਲੁਬਾਣਾ</t>
        </is>
      </c>
      <c r="D207" s="16" t="inlineStr">
        <is>
          <t>Lost Both Times (Deficit)</t>
        </is>
      </c>
      <c r="E207" s="12" t="n">
        <v>116</v>
      </c>
      <c r="F207" s="13">
        <f>116/510</f>
        <v/>
      </c>
      <c r="G207" s="14" t="inlineStr">
        <is>
          <t>INC</t>
        </is>
      </c>
      <c r="H207" s="12" t="n">
        <v>184</v>
      </c>
      <c r="I207" s="13">
        <f>184/442</f>
        <v/>
      </c>
      <c r="J207" s="14" t="inlineStr">
        <is>
          <t>INC</t>
        </is>
      </c>
      <c r="K207" s="12" t="n">
        <v>68</v>
      </c>
      <c r="L207" s="15">
        <f>I207-F207</f>
        <v/>
      </c>
      <c r="M207" s="12" t="n">
        <v>16</v>
      </c>
      <c r="N207" s="12" t="n">
        <v>442</v>
      </c>
    </row>
    <row r="208" ht="20" customHeight="1">
      <c r="A208" s="2" t="n">
        <v>207</v>
      </c>
      <c r="B208" s="3" t="inlineStr">
        <is>
          <t>Dhandoi</t>
        </is>
      </c>
      <c r="C208" s="3" t="inlineStr">
        <is>
          <t>ਧਾਂਦੋਈ</t>
        </is>
      </c>
      <c r="D208" s="16" t="inlineStr">
        <is>
          <t>Lost Both Times (Deficit)</t>
        </is>
      </c>
      <c r="E208" s="5" t="n">
        <v>117</v>
      </c>
      <c r="F208" s="6">
        <f>117/581</f>
        <v/>
      </c>
      <c r="G208" s="7" t="inlineStr">
        <is>
          <t>INC</t>
        </is>
      </c>
      <c r="H208" s="5" t="n">
        <v>127</v>
      </c>
      <c r="I208" s="6">
        <f>127/499</f>
        <v/>
      </c>
      <c r="J208" s="7" t="inlineStr">
        <is>
          <t>INC</t>
        </is>
      </c>
      <c r="K208" s="5" t="n">
        <v>10</v>
      </c>
      <c r="L208" s="8">
        <f>I208-F208</f>
        <v/>
      </c>
      <c r="M208" s="5" t="n">
        <v>55</v>
      </c>
      <c r="N208" s="5" t="n">
        <v>499</v>
      </c>
    </row>
    <row r="209" ht="20" customHeight="1">
      <c r="A209" s="9" t="n">
        <v>208</v>
      </c>
      <c r="B209" s="10" t="inlineStr">
        <is>
          <t>Chhichhda</t>
        </is>
      </c>
      <c r="C209" s="10" t="inlineStr">
        <is>
          <t>ਛਿੱਛੜਾ</t>
        </is>
      </c>
      <c r="D209" s="16" t="inlineStr">
        <is>
          <t>Lost Both Times (Deficit)</t>
        </is>
      </c>
      <c r="E209" s="12" t="n">
        <v>235</v>
      </c>
      <c r="F209" s="13">
        <f>235/550</f>
        <v/>
      </c>
      <c r="G209" s="14" t="inlineStr">
        <is>
          <t>INC</t>
        </is>
      </c>
      <c r="H209" s="12" t="n">
        <v>184</v>
      </c>
      <c r="I209" s="13">
        <f>184/527</f>
        <v/>
      </c>
      <c r="J209" s="14" t="inlineStr">
        <is>
          <t>INC</t>
        </is>
      </c>
      <c r="K209" s="12" t="n">
        <v>-51</v>
      </c>
      <c r="L209" s="15">
        <f>I209-F209</f>
        <v/>
      </c>
      <c r="M209" s="12" t="n">
        <v>29</v>
      </c>
      <c r="N209" s="12" t="n">
        <v>527</v>
      </c>
    </row>
    <row r="210" ht="20" customHeight="1">
      <c r="A210" s="2" t="n">
        <v>209</v>
      </c>
      <c r="B210" s="3" t="inlineStr">
        <is>
          <t>Raju Bela</t>
        </is>
      </c>
      <c r="C210" s="3" t="inlineStr">
        <is>
          <t>ਰਾਜੂ ਬੇਲਾ</t>
        </is>
      </c>
      <c r="D210" s="16" t="inlineStr">
        <is>
          <t>Lost Both Times (Deficit)</t>
        </is>
      </c>
      <c r="E210" s="5" t="n">
        <v>273</v>
      </c>
      <c r="F210" s="6">
        <f>273/864</f>
        <v/>
      </c>
      <c r="G210" s="7" t="inlineStr">
        <is>
          <t>INC</t>
        </is>
      </c>
      <c r="H210" s="5" t="n">
        <v>316</v>
      </c>
      <c r="I210" s="6">
        <f>316/765</f>
        <v/>
      </c>
      <c r="J210" s="7" t="inlineStr">
        <is>
          <t>INC</t>
        </is>
      </c>
      <c r="K210" s="5" t="n">
        <v>43</v>
      </c>
      <c r="L210" s="8">
        <f>I210-F210</f>
        <v/>
      </c>
      <c r="M210" s="5" t="n">
        <v>37</v>
      </c>
      <c r="N210" s="5" t="n">
        <v>765</v>
      </c>
    </row>
    <row r="211" ht="20" customHeight="1">
      <c r="A211" s="9" t="n">
        <v>210</v>
      </c>
      <c r="B211" s="10" t="inlineStr">
        <is>
          <t>Alma</t>
        </is>
      </c>
      <c r="C211" s="10" t="inlineStr">
        <is>
          <t>ਆਲਮਾ</t>
        </is>
      </c>
      <c r="D211" s="17" t="inlineStr">
        <is>
          <t>Weak Booth (&lt; 20% Share)</t>
        </is>
      </c>
      <c r="E211" s="12" t="n">
        <v>69</v>
      </c>
      <c r="F211" s="13">
        <f>69/619</f>
        <v/>
      </c>
      <c r="G211" s="14" t="inlineStr">
        <is>
          <t>INC</t>
        </is>
      </c>
      <c r="H211" s="12" t="n">
        <v>60</v>
      </c>
      <c r="I211" s="13">
        <f>60/579</f>
        <v/>
      </c>
      <c r="J211" s="14" t="inlineStr">
        <is>
          <t>INC</t>
        </is>
      </c>
      <c r="K211" s="12" t="n">
        <v>-9</v>
      </c>
      <c r="L211" s="15">
        <f>I211-F211</f>
        <v/>
      </c>
      <c r="M211" s="12" t="n">
        <v>50</v>
      </c>
      <c r="N211" s="12" t="n">
        <v>579</v>
      </c>
    </row>
    <row r="212" ht="20" customHeight="1">
      <c r="A212" s="2" t="n">
        <v>211</v>
      </c>
      <c r="B212" s="3" t="inlineStr">
        <is>
          <t>Awan, Salarpur, Bishanpur, Kisana, Dhore Kalian, Kotli Gujran</t>
        </is>
      </c>
      <c r="C212" s="3" t="inlineStr">
        <is>
          <t>ਅਵਾਣ, ਸਲਾਰਪੁਰ, ਬਿਸਨਪੁਰ, ਕਿਸਾਨਾ, ਧੋਰੇ ਕਲੀਆਂ, ਕੋਟਲੀ ਗੁਜਰਾਂ</t>
        </is>
      </c>
      <c r="D212" s="16" t="inlineStr">
        <is>
          <t>Lost Both Times (Deficit)</t>
        </is>
      </c>
      <c r="E212" s="5" t="n">
        <v>229</v>
      </c>
      <c r="F212" s="6">
        <f>229/648</f>
        <v/>
      </c>
      <c r="G212" s="7" t="inlineStr">
        <is>
          <t>INC</t>
        </is>
      </c>
      <c r="H212" s="5" t="n">
        <v>181</v>
      </c>
      <c r="I212" s="6">
        <f>181/588</f>
        <v/>
      </c>
      <c r="J212" s="7" t="inlineStr">
        <is>
          <t>INC</t>
        </is>
      </c>
      <c r="K212" s="5" t="n">
        <v>-48</v>
      </c>
      <c r="L212" s="8">
        <f>I212-F212</f>
        <v/>
      </c>
      <c r="M212" s="5" t="n">
        <v>54</v>
      </c>
      <c r="N212" s="5" t="n">
        <v>588</v>
      </c>
    </row>
    <row r="213" ht="20" customHeight="1">
      <c r="A213" s="9" t="n">
        <v>212</v>
      </c>
      <c r="B213" s="10" t="inlineStr">
        <is>
          <t>Mochpur</t>
        </is>
      </c>
      <c r="C213" s="10" t="inlineStr">
        <is>
          <t>ਮੋਚਪੁਰ</t>
        </is>
      </c>
      <c r="D213" s="16" t="inlineStr">
        <is>
          <t>Lost Both Times (Deficit)</t>
        </is>
      </c>
      <c r="E213" s="12" t="n">
        <v>222</v>
      </c>
      <c r="F213" s="13">
        <f>222/815</f>
        <v/>
      </c>
      <c r="G213" s="14" t="inlineStr">
        <is>
          <t>INC</t>
        </is>
      </c>
      <c r="H213" s="12" t="n">
        <v>213</v>
      </c>
      <c r="I213" s="13">
        <f>213/853</f>
        <v/>
      </c>
      <c r="J213" s="14" t="inlineStr">
        <is>
          <t>INC</t>
        </is>
      </c>
      <c r="K213" s="12" t="n">
        <v>-9</v>
      </c>
      <c r="L213" s="15">
        <f>I213-F213</f>
        <v/>
      </c>
      <c r="M213" s="12" t="n">
        <v>343</v>
      </c>
      <c r="N213" s="12" t="n">
        <v>853</v>
      </c>
    </row>
    <row r="214" ht="20" customHeight="1">
      <c r="A214" s="2" t="n">
        <v>213</v>
      </c>
      <c r="B214" s="3" t="inlineStr">
        <is>
          <t>Navian Bagrian, Mitha</t>
        </is>
      </c>
      <c r="C214" s="3" t="inlineStr">
        <is>
          <t>ਨਵੀਆਂ ਬਗੜੀਆਂ, ਮਿਠਾ</t>
        </is>
      </c>
      <c r="D214" s="16" t="inlineStr">
        <is>
          <t>Lost Both Times (Deficit)</t>
        </is>
      </c>
      <c r="E214" s="5" t="n">
        <v>257</v>
      </c>
      <c r="F214" s="6">
        <f>257/815</f>
        <v/>
      </c>
      <c r="G214" s="7" t="inlineStr">
        <is>
          <t>INC</t>
        </is>
      </c>
      <c r="H214" s="5" t="n">
        <v>198</v>
      </c>
      <c r="I214" s="6">
        <f>198/637</f>
        <v/>
      </c>
      <c r="J214" s="7" t="inlineStr">
        <is>
          <t>INC</t>
        </is>
      </c>
      <c r="K214" s="5" t="n">
        <v>-59</v>
      </c>
      <c r="L214" s="8">
        <f>I214-F214</f>
        <v/>
      </c>
      <c r="M214" s="5" t="n">
        <v>81</v>
      </c>
      <c r="N214" s="5" t="n">
        <v>637</v>
      </c>
    </row>
    <row r="215" ht="20" customHeight="1">
      <c r="A215" s="9" t="n">
        <v>214</v>
      </c>
      <c r="B215" s="10" t="inlineStr">
        <is>
          <t>Bagrian</t>
        </is>
      </c>
      <c r="C215" s="10" t="inlineStr">
        <is>
          <t>ਬਾਗੜੀਆਂ</t>
        </is>
      </c>
      <c r="D215" s="16" t="inlineStr">
        <is>
          <t>Lost Both Times (Deficit)</t>
        </is>
      </c>
      <c r="E215" s="12" t="n">
        <v>181</v>
      </c>
      <c r="F215" s="13">
        <f>181/594</f>
        <v/>
      </c>
      <c r="G215" s="14" t="inlineStr">
        <is>
          <t>INC</t>
        </is>
      </c>
      <c r="H215" s="12" t="n">
        <v>132</v>
      </c>
      <c r="I215" s="13">
        <f>132/500</f>
        <v/>
      </c>
      <c r="J215" s="14" t="inlineStr">
        <is>
          <t>BJP</t>
        </is>
      </c>
      <c r="K215" s="12" t="n">
        <v>-49</v>
      </c>
      <c r="L215" s="15">
        <f>I215-F215</f>
        <v/>
      </c>
      <c r="M215" s="12" t="n">
        <v>1</v>
      </c>
      <c r="N215" s="12" t="n">
        <v>500</v>
      </c>
    </row>
    <row r="216" ht="20" customHeight="1">
      <c r="A216" s="2" t="n">
        <v>215</v>
      </c>
      <c r="B216" s="3" t="inlineStr">
        <is>
          <t>Bagrian</t>
        </is>
      </c>
      <c r="C216" s="3" t="inlineStr">
        <is>
          <t>ਬਾਗੜੀਆਂ</t>
        </is>
      </c>
      <c r="D216" s="16" t="inlineStr">
        <is>
          <t>Lost Both Times (Deficit)</t>
        </is>
      </c>
      <c r="E216" s="5" t="n">
        <v>119</v>
      </c>
      <c r="F216" s="6">
        <f>119/586</f>
        <v/>
      </c>
      <c r="G216" s="7" t="inlineStr">
        <is>
          <t>INC</t>
        </is>
      </c>
      <c r="H216" s="5" t="n">
        <v>181</v>
      </c>
      <c r="I216" s="6">
        <f>181/529</f>
        <v/>
      </c>
      <c r="J216" s="7" t="inlineStr">
        <is>
          <t>INC</t>
        </is>
      </c>
      <c r="K216" s="5" t="n">
        <v>62</v>
      </c>
      <c r="L216" s="8">
        <f>I216-F216</f>
        <v/>
      </c>
      <c r="M216" s="5" t="n">
        <v>56</v>
      </c>
      <c r="N216" s="5" t="n">
        <v>529</v>
      </c>
    </row>
    <row r="217" ht="20" customHeight="1">
      <c r="A217" s="9" t="n">
        <v>216</v>
      </c>
      <c r="B217" s="10" t="inlineStr">
        <is>
          <t>Rajpura</t>
        </is>
      </c>
      <c r="C217" s="10" t="inlineStr">
        <is>
          <t>ਰਾਜਪੁਰਾ</t>
        </is>
      </c>
      <c r="D217" s="16" t="inlineStr">
        <is>
          <t>Lost Both Times (Deficit)</t>
        </is>
      </c>
      <c r="E217" s="12" t="n">
        <v>102</v>
      </c>
      <c r="F217" s="13">
        <f>102/332</f>
        <v/>
      </c>
      <c r="G217" s="14" t="inlineStr">
        <is>
          <t>SAD</t>
        </is>
      </c>
      <c r="H217" s="12" t="n">
        <v>115</v>
      </c>
      <c r="I217" s="13">
        <f>115/328</f>
        <v/>
      </c>
      <c r="J217" s="14" t="inlineStr">
        <is>
          <t>INC</t>
        </is>
      </c>
      <c r="K217" s="12" t="n">
        <v>13</v>
      </c>
      <c r="L217" s="15">
        <f>I217-F217</f>
        <v/>
      </c>
      <c r="M217" s="12" t="n">
        <v>17</v>
      </c>
      <c r="N217" s="12" t="n">
        <v>328</v>
      </c>
    </row>
    <row r="218" ht="20" customHeight="1">
      <c r="A218" s="2" t="n">
        <v>217</v>
      </c>
      <c r="B218" s="3" t="inlineStr">
        <is>
          <t>Bhaini Khadar</t>
        </is>
      </c>
      <c r="C218" s="3" t="inlineStr">
        <is>
          <t>ਭੈਣੀ ਖਾਦਰ</t>
        </is>
      </c>
      <c r="D218" s="16" t="inlineStr">
        <is>
          <t>Lost Both Times (Deficit)</t>
        </is>
      </c>
      <c r="E218" s="5" t="n">
        <v>162</v>
      </c>
      <c r="F218" s="6">
        <f>162/463</f>
        <v/>
      </c>
      <c r="G218" s="7" t="inlineStr">
        <is>
          <t>INC</t>
        </is>
      </c>
      <c r="H218" s="5" t="n">
        <v>89</v>
      </c>
      <c r="I218" s="6">
        <f>89/440</f>
        <v/>
      </c>
      <c r="J218" s="7" t="inlineStr">
        <is>
          <t>INC</t>
        </is>
      </c>
      <c r="K218" s="5" t="n">
        <v>-73</v>
      </c>
      <c r="L218" s="8">
        <f>I218-F218</f>
        <v/>
      </c>
      <c r="M218" s="5" t="n">
        <v>141</v>
      </c>
      <c r="N218" s="5" t="n">
        <v>440</v>
      </c>
    </row>
    <row r="219" ht="20" customHeight="1">
      <c r="A219" s="9" t="n">
        <v>218</v>
      </c>
      <c r="B219" s="10" t="inlineStr">
        <is>
          <t>Mullanwal</t>
        </is>
      </c>
      <c r="C219" s="10" t="inlineStr">
        <is>
          <t>ਮੁੱਲਾਂਵਾਲ</t>
        </is>
      </c>
      <c r="D219" s="18" t="inlineStr">
        <is>
          <t>Lost in 2024 (to INC)</t>
        </is>
      </c>
      <c r="E219" s="12" t="n">
        <v>316</v>
      </c>
      <c r="F219" s="13">
        <f>316/707</f>
        <v/>
      </c>
      <c r="G219" s="14" t="inlineStr">
        <is>
          <t>AAP</t>
        </is>
      </c>
      <c r="H219" s="12" t="n">
        <v>124</v>
      </c>
      <c r="I219" s="13">
        <f>124/636</f>
        <v/>
      </c>
      <c r="J219" s="14" t="inlineStr">
        <is>
          <t>INC</t>
        </is>
      </c>
      <c r="K219" s="12" t="n">
        <v>-192</v>
      </c>
      <c r="L219" s="15">
        <f>I219-F219</f>
        <v/>
      </c>
      <c r="M219" s="12" t="n">
        <v>99</v>
      </c>
      <c r="N219" s="12" t="n">
        <v>636</v>
      </c>
    </row>
    <row r="220" ht="20" customHeight="1">
      <c r="A220" s="2" t="n">
        <v>219</v>
      </c>
      <c r="B220" s="3" t="inlineStr">
        <is>
          <t>Paswal</t>
        </is>
      </c>
      <c r="C220" s="3" t="inlineStr">
        <is>
          <t>ਪਸਵਾਲ</t>
        </is>
      </c>
      <c r="D220" s="16" t="inlineStr">
        <is>
          <t>Lost Both Times (Deficit)</t>
        </is>
      </c>
      <c r="E220" s="5" t="n">
        <v>124</v>
      </c>
      <c r="F220" s="6">
        <f>124/302</f>
        <v/>
      </c>
      <c r="G220" s="7" t="inlineStr">
        <is>
          <t>INC</t>
        </is>
      </c>
      <c r="H220" s="5" t="n">
        <v>106</v>
      </c>
      <c r="I220" s="6">
        <f>106/285</f>
        <v/>
      </c>
      <c r="J220" s="7" t="inlineStr">
        <is>
          <t>INC</t>
        </is>
      </c>
      <c r="K220" s="5" t="n">
        <v>-18</v>
      </c>
      <c r="L220" s="8">
        <f>I220-F220</f>
        <v/>
      </c>
      <c r="M220" s="5" t="n">
        <v>26</v>
      </c>
      <c r="N220" s="5" t="n">
        <v>285</v>
      </c>
    </row>
    <row r="221" ht="20" customHeight="1">
      <c r="A221" s="9" t="n">
        <v>220</v>
      </c>
      <c r="B221" s="10" t="inlineStr">
        <is>
          <t>Fattu Barkat</t>
        </is>
      </c>
      <c r="C221" s="10" t="inlineStr">
        <is>
          <t>ਫੱਤੂ ਬਰਕਤ</t>
        </is>
      </c>
      <c r="D221" s="18" t="inlineStr">
        <is>
          <t>Lost in 2024 (to INC)</t>
        </is>
      </c>
      <c r="E221" s="12" t="n">
        <v>326</v>
      </c>
      <c r="F221" s="13">
        <f>326/614</f>
        <v/>
      </c>
      <c r="G221" s="14" t="inlineStr">
        <is>
          <t>AAP</t>
        </is>
      </c>
      <c r="H221" s="12" t="n">
        <v>104</v>
      </c>
      <c r="I221" s="13">
        <f>104/576</f>
        <v/>
      </c>
      <c r="J221" s="14" t="inlineStr">
        <is>
          <t>INC</t>
        </is>
      </c>
      <c r="K221" s="12" t="n">
        <v>-222</v>
      </c>
      <c r="L221" s="15">
        <f>I221-F221</f>
        <v/>
      </c>
      <c r="M221" s="12" t="n">
        <v>96</v>
      </c>
      <c r="N221" s="12" t="n">
        <v>576</v>
      </c>
    </row>
    <row r="222" ht="20" customHeight="1">
      <c r="A222" s="2" t="n">
        <v>221</v>
      </c>
      <c r="B222" s="3" t="inlineStr">
        <is>
          <t>Noon</t>
        </is>
      </c>
      <c r="C222" s="3" t="inlineStr">
        <is>
          <t>ਨੂੰਨ</t>
        </is>
      </c>
      <c r="D222" s="11" t="inlineStr">
        <is>
          <t>Won Both Times (Stronghold)</t>
        </is>
      </c>
      <c r="E222" s="5" t="n">
        <v>191</v>
      </c>
      <c r="F222" s="6">
        <f>191/485</f>
        <v/>
      </c>
      <c r="G222" s="7" t="inlineStr">
        <is>
          <t>AAP</t>
        </is>
      </c>
      <c r="H222" s="5" t="n">
        <v>155</v>
      </c>
      <c r="I222" s="6">
        <f>155/471</f>
        <v/>
      </c>
      <c r="J222" s="7" t="inlineStr">
        <is>
          <t>AAP</t>
        </is>
      </c>
      <c r="K222" s="5" t="n">
        <v>-36</v>
      </c>
      <c r="L222" s="8">
        <f>I222-F222</f>
        <v/>
      </c>
      <c r="M222" s="5" t="n">
        <v>39</v>
      </c>
      <c r="N222" s="5" t="n">
        <v>471</v>
      </c>
    </row>
    <row r="223" ht="20" customHeight="1">
      <c r="A223" s="9" t="n">
        <v>222</v>
      </c>
      <c r="B223" s="10" t="inlineStr">
        <is>
          <t>Munnan, Ghulla Thatha</t>
        </is>
      </c>
      <c r="C223" s="10" t="inlineStr">
        <is>
          <t>ਮੁੰਨਣ, ਘੁੱਲਾ ਥਾਥਾ</t>
        </is>
      </c>
      <c r="D223" s="17" t="inlineStr">
        <is>
          <t>Weak Booth (&lt; 20% Share)</t>
        </is>
      </c>
      <c r="E223" s="12" t="n">
        <v>214</v>
      </c>
      <c r="F223" s="13">
        <f>214/523</f>
        <v/>
      </c>
      <c r="G223" s="14" t="inlineStr">
        <is>
          <t>INC</t>
        </is>
      </c>
      <c r="H223" s="12" t="n">
        <v>91</v>
      </c>
      <c r="I223" s="13">
        <f>91/480</f>
        <v/>
      </c>
      <c r="J223" s="14" t="inlineStr">
        <is>
          <t>INC</t>
        </is>
      </c>
      <c r="K223" s="12" t="n">
        <v>-123</v>
      </c>
      <c r="L223" s="15">
        <f>I223-F223</f>
        <v/>
      </c>
      <c r="M223" s="12" t="n">
        <v>104</v>
      </c>
      <c r="N223" s="12" t="n">
        <v>480</v>
      </c>
    </row>
    <row r="224" ht="20" customHeight="1">
      <c r="A224" s="2" t="n">
        <v>223</v>
      </c>
      <c r="B224" s="3" t="inlineStr">
        <is>
          <t>Phulrha</t>
        </is>
      </c>
      <c r="C224" s="3" t="inlineStr">
        <is>
          <t>ਫੁੱਲੜਾ</t>
        </is>
      </c>
      <c r="D224" s="17" t="inlineStr">
        <is>
          <t>Weak Booth (&lt; 20% Share)</t>
        </is>
      </c>
      <c r="E224" s="5" t="n">
        <v>182</v>
      </c>
      <c r="F224" s="6">
        <f>182/505</f>
        <v/>
      </c>
      <c r="G224" s="7" t="inlineStr">
        <is>
          <t>INC</t>
        </is>
      </c>
      <c r="H224" s="5" t="n">
        <v>57</v>
      </c>
      <c r="I224" s="6">
        <f>57/464</f>
        <v/>
      </c>
      <c r="J224" s="7" t="inlineStr">
        <is>
          <t>SAD</t>
        </is>
      </c>
      <c r="K224" s="5" t="n">
        <v>-125</v>
      </c>
      <c r="L224" s="8">
        <f>I224-F224</f>
        <v/>
      </c>
      <c r="M224" s="5" t="n">
        <v>35</v>
      </c>
      <c r="N224" s="5" t="n">
        <v>464</v>
      </c>
    </row>
    <row r="225" ht="24" customHeight="1">
      <c r="A225" s="19" t="inlineStr">
        <is>
          <t>TOTAL</t>
        </is>
      </c>
      <c r="B225" s="19" t="inlineStr">
        <is>
          <t>223 Booths</t>
        </is>
      </c>
      <c r="C225" s="19" t="inlineStr">
        <is>
          <t>Constituency Total</t>
        </is>
      </c>
      <c r="D225" s="19" t="inlineStr">
        <is>
          <t>AAP Summary</t>
        </is>
      </c>
      <c r="E225" s="20">
        <f>SUM(E2:E224)</f>
        <v/>
      </c>
      <c r="F225" s="21">
        <f>E225/SUM(N2:N224)</f>
        <v/>
      </c>
      <c r="G225" s="19" t="inlineStr">
        <is>
          <t>Bajwa Won</t>
        </is>
      </c>
      <c r="H225" s="20">
        <f>SUM(H2:H224)</f>
        <v/>
      </c>
      <c r="I225" s="21">
        <f>H225/SUM(N2:N224)</f>
        <v/>
      </c>
      <c r="J225" s="19" t="inlineStr">
        <is>
          <t>Randhawa Won</t>
        </is>
      </c>
      <c r="K225" s="20">
        <f>H225-E225</f>
        <v/>
      </c>
      <c r="L225" s="22">
        <f>I225-F225</f>
        <v/>
      </c>
      <c r="M225" s="20">
        <f>SUM(M2:M224)</f>
        <v/>
      </c>
      <c r="N225" s="20">
        <f>SUM(N2:N224)</f>
        <v/>
      </c>
    </row>
  </sheetData>
  <pageMargins left="0.75" right="0.75" top="1" bottom="1" header="0.5" footer="0.5"/>
  <headerFooter>
    <oddHeader>&amp;CDSIDEIN FIELD INTELLIGENCE | https://dsidein.com/qadian-2022-2024</oddHeader>
    <oddFooter>&amp;C18-Qadian Assembly Segment (2022 vs 2024) —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28" customWidth="1" min="4" max="4"/>
    <col width="17" customWidth="1" min="5" max="5"/>
    <col width="21" customWidth="1" min="6" max="6"/>
    <col width="14" customWidth="1" min="7" max="7"/>
    <col width="17" customWidth="1" min="8" max="8"/>
    <col width="21" customWidth="1" min="9" max="9"/>
    <col width="15" customWidth="1" min="10" max="10"/>
    <col width="14" customWidth="1" min="11" max="11"/>
    <col width="14" customWidth="1" min="12" max="12"/>
    <col width="16" customWidth="1" min="13" max="13"/>
    <col width="20" customWidth="1" min="14" max="14"/>
  </cols>
  <sheetData>
    <row r="1" ht="28" customHeight="1">
      <c r="A1" s="23" t="inlineStr">
        <is>
          <t>Booth No</t>
        </is>
      </c>
      <c r="B1" s="23" t="inlineStr">
        <is>
          <t>Village / Polling Station (English)</t>
        </is>
      </c>
      <c r="C1" s="23" t="inlineStr">
        <is>
          <t>Village Name (Punjabi)</t>
        </is>
      </c>
      <c r="D1" s="23" t="inlineStr">
        <is>
          <t>INC Status Category</t>
        </is>
      </c>
      <c r="E1" s="23" t="inlineStr">
        <is>
          <t>2022 INC Votes</t>
        </is>
      </c>
      <c r="F1" s="23" t="inlineStr">
        <is>
          <t>2022 INC %</t>
        </is>
      </c>
      <c r="G1" s="23" t="inlineStr">
        <is>
          <t>2022 Winner</t>
        </is>
      </c>
      <c r="H1" s="23" t="inlineStr">
        <is>
          <t>2024 INC Votes</t>
        </is>
      </c>
      <c r="I1" s="23" t="inlineStr">
        <is>
          <t>2024 INC %</t>
        </is>
      </c>
      <c r="J1" s="23" t="inlineStr">
        <is>
          <t>2024 Winner</t>
        </is>
      </c>
      <c r="K1" s="23" t="inlineStr">
        <is>
          <t>Vote Shift (+/-)</t>
        </is>
      </c>
      <c r="L1" s="23" t="inlineStr">
        <is>
          <t>Swing % (+/-)</t>
        </is>
      </c>
      <c r="M1" s="23" t="inlineStr">
        <is>
          <t>2024 Margin</t>
        </is>
      </c>
      <c r="N1" s="23" t="inlineStr">
        <is>
          <t>2024 Total Polled</t>
        </is>
      </c>
    </row>
    <row r="2" ht="20" customHeight="1">
      <c r="A2" s="2" t="n">
        <v>1</v>
      </c>
      <c r="B2" s="3" t="inlineStr">
        <is>
          <t>Jogewal Jattan</t>
        </is>
      </c>
      <c r="C2" s="3" t="inlineStr">
        <is>
          <t>ਜੋਗੇਵਾਲ ਜੱਟਾਂ</t>
        </is>
      </c>
      <c r="D2" s="18" t="inlineStr">
        <is>
          <t>Lost in 2024 (to AAP)</t>
        </is>
      </c>
      <c r="E2" s="5" t="n">
        <v>236</v>
      </c>
      <c r="F2" s="6">
        <f>236/537</f>
        <v/>
      </c>
      <c r="G2" s="7" t="inlineStr">
        <is>
          <t>INC</t>
        </is>
      </c>
      <c r="H2" s="5" t="n">
        <v>62</v>
      </c>
      <c r="I2" s="6">
        <f>62/505</f>
        <v/>
      </c>
      <c r="J2" s="7" t="inlineStr">
        <is>
          <t>AAP</t>
        </is>
      </c>
      <c r="K2" s="5" t="n">
        <v>-174</v>
      </c>
      <c r="L2" s="8">
        <f>I2-F2</f>
        <v/>
      </c>
      <c r="M2" s="5" t="n">
        <v>171</v>
      </c>
      <c r="N2" s="5" t="n">
        <v>505</v>
      </c>
    </row>
    <row r="3" ht="20" customHeight="1">
      <c r="A3" s="9" t="n">
        <v>2</v>
      </c>
      <c r="B3" s="10" t="inlineStr">
        <is>
          <t>Chhotepur</t>
        </is>
      </c>
      <c r="C3" s="10" t="inlineStr">
        <is>
          <t>ਛੋਟੇਪੁਰ</t>
        </is>
      </c>
      <c r="D3" s="16" t="inlineStr">
        <is>
          <t>Lost Both Times (Deficit)</t>
        </is>
      </c>
      <c r="E3" s="12" t="n">
        <v>172</v>
      </c>
      <c r="F3" s="13">
        <f>172/622</f>
        <v/>
      </c>
      <c r="G3" s="14" t="inlineStr">
        <is>
          <t>AAP</t>
        </is>
      </c>
      <c r="H3" s="12" t="n">
        <v>129</v>
      </c>
      <c r="I3" s="13">
        <f>129/618</f>
        <v/>
      </c>
      <c r="J3" s="14" t="inlineStr">
        <is>
          <t>AAP</t>
        </is>
      </c>
      <c r="K3" s="12" t="n">
        <v>-43</v>
      </c>
      <c r="L3" s="15">
        <f>I3-F3</f>
        <v/>
      </c>
      <c r="M3" s="12" t="n">
        <v>107</v>
      </c>
      <c r="N3" s="12" t="n">
        <v>618</v>
      </c>
    </row>
    <row r="4" ht="20" customHeight="1">
      <c r="A4" s="2" t="n">
        <v>3</v>
      </c>
      <c r="B4" s="3" t="inlineStr">
        <is>
          <t>Allowal</t>
        </is>
      </c>
      <c r="C4" s="3" t="inlineStr">
        <is>
          <t>ਆਲੋਵਾਲ</t>
        </is>
      </c>
      <c r="D4" s="18" t="inlineStr">
        <is>
          <t>Lost in 2024 (to AAP)</t>
        </is>
      </c>
      <c r="E4" s="5" t="n">
        <v>176</v>
      </c>
      <c r="F4" s="6">
        <f>176/478</f>
        <v/>
      </c>
      <c r="G4" s="7" t="inlineStr">
        <is>
          <t>INC</t>
        </is>
      </c>
      <c r="H4" s="5" t="n">
        <v>135</v>
      </c>
      <c r="I4" s="6">
        <f>135/425</f>
        <v/>
      </c>
      <c r="J4" s="7" t="inlineStr">
        <is>
          <t>AAP</t>
        </is>
      </c>
      <c r="K4" s="5" t="n">
        <v>-41</v>
      </c>
      <c r="L4" s="8">
        <f>I4-F4</f>
        <v/>
      </c>
      <c r="M4" s="5" t="n">
        <v>43</v>
      </c>
      <c r="N4" s="5" t="n">
        <v>425</v>
      </c>
    </row>
    <row r="5" ht="20" customHeight="1">
      <c r="A5" s="9" t="n">
        <v>4</v>
      </c>
      <c r="B5" s="10" t="inlineStr">
        <is>
          <t>Allowal</t>
        </is>
      </c>
      <c r="C5" s="10" t="inlineStr">
        <is>
          <t>ਆਲੋਵਾਲ</t>
        </is>
      </c>
      <c r="D5" s="18" t="inlineStr">
        <is>
          <t>Lost in 2024 (to AAP)</t>
        </is>
      </c>
      <c r="E5" s="12" t="n">
        <v>178</v>
      </c>
      <c r="F5" s="13">
        <f>178/458</f>
        <v/>
      </c>
      <c r="G5" s="14" t="inlineStr">
        <is>
          <t>INC</t>
        </is>
      </c>
      <c r="H5" s="12" t="n">
        <v>166</v>
      </c>
      <c r="I5" s="13">
        <f>166/397</f>
        <v/>
      </c>
      <c r="J5" s="14" t="inlineStr">
        <is>
          <t>AAP</t>
        </is>
      </c>
      <c r="K5" s="12" t="n">
        <v>-12</v>
      </c>
      <c r="L5" s="15">
        <f>I5-F5</f>
        <v/>
      </c>
      <c r="M5" s="12" t="n">
        <v>13</v>
      </c>
      <c r="N5" s="12" t="n">
        <v>397</v>
      </c>
    </row>
    <row r="6" ht="20" customHeight="1">
      <c r="A6" s="2" t="n">
        <v>5</v>
      </c>
      <c r="B6" s="3" t="inlineStr">
        <is>
          <t>Kot Santokh Rai</t>
        </is>
      </c>
      <c r="C6" s="3" t="inlineStr">
        <is>
          <t>ਕੋਟ ਸੰਤੋਖ ਰਾਏ</t>
        </is>
      </c>
      <c r="D6" s="16" t="inlineStr">
        <is>
          <t>Lost Both Times (Deficit)</t>
        </is>
      </c>
      <c r="E6" s="5" t="n">
        <v>188</v>
      </c>
      <c r="F6" s="6">
        <f>188/625</f>
        <v/>
      </c>
      <c r="G6" s="7" t="inlineStr">
        <is>
          <t>AAP</t>
        </is>
      </c>
      <c r="H6" s="5" t="n">
        <v>194</v>
      </c>
      <c r="I6" s="6">
        <f>194/589</f>
        <v/>
      </c>
      <c r="J6" s="7" t="inlineStr">
        <is>
          <t>AAP</t>
        </is>
      </c>
      <c r="K6" s="5" t="n">
        <v>6</v>
      </c>
      <c r="L6" s="8">
        <f>I6-F6</f>
        <v/>
      </c>
      <c r="M6" s="5" t="n">
        <v>18</v>
      </c>
      <c r="N6" s="5" t="n">
        <v>589</v>
      </c>
    </row>
    <row r="7" ht="20" customHeight="1">
      <c r="A7" s="9" t="n">
        <v>6</v>
      </c>
      <c r="B7" s="10" t="inlineStr">
        <is>
          <t>Kot Santokh Rai</t>
        </is>
      </c>
      <c r="C7" s="10" t="inlineStr">
        <is>
          <t>ਕੋਟ ਸੰਤੋਖ ਰਾਏ</t>
        </is>
      </c>
      <c r="D7" s="4" t="inlineStr">
        <is>
          <t>Gained in 2024 (New Win)</t>
        </is>
      </c>
      <c r="E7" s="12" t="n">
        <v>150</v>
      </c>
      <c r="F7" s="13">
        <f>150/646</f>
        <v/>
      </c>
      <c r="G7" s="14" t="inlineStr">
        <is>
          <t>SAD</t>
        </is>
      </c>
      <c r="H7" s="12" t="n">
        <v>215</v>
      </c>
      <c r="I7" s="13">
        <f>215/562</f>
        <v/>
      </c>
      <c r="J7" s="14" t="inlineStr">
        <is>
          <t>INC</t>
        </is>
      </c>
      <c r="K7" s="12" t="n">
        <v>65</v>
      </c>
      <c r="L7" s="15">
        <f>I7-F7</f>
        <v/>
      </c>
      <c r="M7" s="12" t="n">
        <v>28</v>
      </c>
      <c r="N7" s="12" t="n">
        <v>562</v>
      </c>
    </row>
    <row r="8" ht="20" customHeight="1">
      <c r="A8" s="2" t="n">
        <v>7</v>
      </c>
      <c r="B8" s="3" t="inlineStr">
        <is>
          <t>Kheh Tikha + Chakk Gharoye</t>
        </is>
      </c>
      <c r="C8" s="3" t="inlineStr">
        <is>
          <t>ਖੇਹ ਤਿੱਖਾ + ਚੱਕ ਘਰੋਏ</t>
        </is>
      </c>
      <c r="D8" s="4" t="inlineStr">
        <is>
          <t>Gained in 2024 (New Win)</t>
        </is>
      </c>
      <c r="E8" s="5" t="n">
        <v>178</v>
      </c>
      <c r="F8" s="6">
        <f>178/672</f>
        <v/>
      </c>
      <c r="G8" s="7" t="inlineStr">
        <is>
          <t>SAD</t>
        </is>
      </c>
      <c r="H8" s="5" t="n">
        <v>246</v>
      </c>
      <c r="I8" s="6">
        <f>246/626</f>
        <v/>
      </c>
      <c r="J8" s="7" t="inlineStr">
        <is>
          <t>INC</t>
        </is>
      </c>
      <c r="K8" s="5" t="n">
        <v>68</v>
      </c>
      <c r="L8" s="8">
        <f>I8-F8</f>
        <v/>
      </c>
      <c r="M8" s="5" t="n">
        <v>75</v>
      </c>
      <c r="N8" s="5" t="n">
        <v>626</v>
      </c>
    </row>
    <row r="9" ht="20" customHeight="1">
      <c r="A9" s="9" t="n">
        <v>8</v>
      </c>
      <c r="B9" s="10" t="inlineStr">
        <is>
          <t>Chakk Deepewal + Devidaspur</t>
        </is>
      </c>
      <c r="C9" s="10" t="inlineStr">
        <is>
          <t>ਚੱਕ ਦੀਪੇਵਾਲ + ਦੇਵੀਦਾਸਪੁਰ</t>
        </is>
      </c>
      <c r="D9" s="11" t="inlineStr">
        <is>
          <t>Won Both Times (Stronghold)</t>
        </is>
      </c>
      <c r="E9" s="12" t="n">
        <v>334</v>
      </c>
      <c r="F9" s="13">
        <f>334/620</f>
        <v/>
      </c>
      <c r="G9" s="14" t="inlineStr">
        <is>
          <t>INC</t>
        </is>
      </c>
      <c r="H9" s="12" t="n">
        <v>280</v>
      </c>
      <c r="I9" s="13">
        <f>280/534</f>
        <v/>
      </c>
      <c r="J9" s="14" t="inlineStr">
        <is>
          <t>INC</t>
        </is>
      </c>
      <c r="K9" s="12" t="n">
        <v>-54</v>
      </c>
      <c r="L9" s="15">
        <f>I9-F9</f>
        <v/>
      </c>
      <c r="M9" s="12" t="n">
        <v>147</v>
      </c>
      <c r="N9" s="12" t="n">
        <v>534</v>
      </c>
    </row>
    <row r="10" ht="20" customHeight="1">
      <c r="A10" s="2" t="n">
        <v>9</v>
      </c>
      <c r="B10" s="3" t="inlineStr">
        <is>
          <t>Bal</t>
        </is>
      </c>
      <c r="C10" s="3" t="inlineStr">
        <is>
          <t>ਬੱਲ</t>
        </is>
      </c>
      <c r="D10" s="11" t="inlineStr">
        <is>
          <t>Won Both Times (Stronghold)</t>
        </is>
      </c>
      <c r="E10" s="5" t="n">
        <v>300</v>
      </c>
      <c r="F10" s="6">
        <f>300/589</f>
        <v/>
      </c>
      <c r="G10" s="7" t="inlineStr">
        <is>
          <t>INC</t>
        </is>
      </c>
      <c r="H10" s="5" t="n">
        <v>245</v>
      </c>
      <c r="I10" s="6">
        <f>245/577</f>
        <v/>
      </c>
      <c r="J10" s="7" t="inlineStr">
        <is>
          <t>INC</t>
        </is>
      </c>
      <c r="K10" s="5" t="n">
        <v>-55</v>
      </c>
      <c r="L10" s="8">
        <f>I10-F10</f>
        <v/>
      </c>
      <c r="M10" s="5" t="n">
        <v>93</v>
      </c>
      <c r="N10" s="5" t="n">
        <v>577</v>
      </c>
    </row>
    <row r="11" ht="20" customHeight="1">
      <c r="A11" s="9" t="n">
        <v>10</v>
      </c>
      <c r="B11" s="10" t="inlineStr">
        <is>
          <t>Bal</t>
        </is>
      </c>
      <c r="C11" s="10" t="inlineStr">
        <is>
          <t>ਬੱਲ</t>
        </is>
      </c>
      <c r="D11" s="18" t="inlineStr">
        <is>
          <t>Lost in 2024 (to AAP)</t>
        </is>
      </c>
      <c r="E11" s="12" t="n">
        <v>329</v>
      </c>
      <c r="F11" s="13">
        <f>329/648</f>
        <v/>
      </c>
      <c r="G11" s="14" t="inlineStr">
        <is>
          <t>INC</t>
        </is>
      </c>
      <c r="H11" s="12" t="n">
        <v>142</v>
      </c>
      <c r="I11" s="13">
        <f>142/562</f>
        <v/>
      </c>
      <c r="J11" s="14" t="inlineStr">
        <is>
          <t>AAP</t>
        </is>
      </c>
      <c r="K11" s="12" t="n">
        <v>-187</v>
      </c>
      <c r="L11" s="15">
        <f>I11-F11</f>
        <v/>
      </c>
      <c r="M11" s="12" t="n">
        <v>87</v>
      </c>
      <c r="N11" s="12" t="n">
        <v>562</v>
      </c>
    </row>
    <row r="12" ht="20" customHeight="1">
      <c r="A12" s="2" t="n">
        <v>11</v>
      </c>
      <c r="B12" s="3" t="inlineStr">
        <is>
          <t>Sanghar</t>
        </is>
      </c>
      <c r="C12" s="3" t="inlineStr">
        <is>
          <t>ਸੰਘਰ</t>
        </is>
      </c>
      <c r="D12" s="11" t="inlineStr">
        <is>
          <t>Won Both Times (Stronghold)</t>
        </is>
      </c>
      <c r="E12" s="5" t="n">
        <v>467</v>
      </c>
      <c r="F12" s="6">
        <f>467/730</f>
        <v/>
      </c>
      <c r="G12" s="7" t="inlineStr">
        <is>
          <t>INC</t>
        </is>
      </c>
      <c r="H12" s="5" t="n">
        <v>509</v>
      </c>
      <c r="I12" s="6">
        <f>509/720</f>
        <v/>
      </c>
      <c r="J12" s="7" t="inlineStr">
        <is>
          <t>INC</t>
        </is>
      </c>
      <c r="K12" s="5" t="n">
        <v>42</v>
      </c>
      <c r="L12" s="8">
        <f>I12-F12</f>
        <v/>
      </c>
      <c r="M12" s="5" t="n">
        <v>381</v>
      </c>
      <c r="N12" s="5" t="n">
        <v>720</v>
      </c>
    </row>
    <row r="13" ht="20" customHeight="1">
      <c r="A13" s="9" t="n">
        <v>12</v>
      </c>
      <c r="B13" s="10" t="inlineStr">
        <is>
          <t>Akhlaspur</t>
        </is>
      </c>
      <c r="C13" s="10" t="inlineStr">
        <is>
          <t>ਅਖਲਾਸਪੁਰ</t>
        </is>
      </c>
      <c r="D13" s="11" t="inlineStr">
        <is>
          <t>Won Both Times (Stronghold)</t>
        </is>
      </c>
      <c r="E13" s="12" t="n">
        <v>226</v>
      </c>
      <c r="F13" s="13">
        <f>226/418</f>
        <v/>
      </c>
      <c r="G13" s="14" t="inlineStr">
        <is>
          <t>INC</t>
        </is>
      </c>
      <c r="H13" s="12" t="n">
        <v>159</v>
      </c>
      <c r="I13" s="13">
        <f>159/409</f>
        <v/>
      </c>
      <c r="J13" s="14" t="inlineStr">
        <is>
          <t>INC</t>
        </is>
      </c>
      <c r="K13" s="12" t="n">
        <v>-67</v>
      </c>
      <c r="L13" s="15">
        <f>I13-F13</f>
        <v/>
      </c>
      <c r="M13" s="12" t="n">
        <v>39</v>
      </c>
      <c r="N13" s="12" t="n">
        <v>409</v>
      </c>
    </row>
    <row r="14" ht="20" customHeight="1">
      <c r="A14" s="2" t="n">
        <v>13</v>
      </c>
      <c r="B14" s="3" t="inlineStr">
        <is>
          <t>Singhpura</t>
        </is>
      </c>
      <c r="C14" s="3" t="inlineStr">
        <is>
          <t>ਸਿੰਘਪੁਰਾ</t>
        </is>
      </c>
      <c r="D14" s="17" t="inlineStr">
        <is>
          <t>Weak Booth (&lt; 20% Share)</t>
        </is>
      </c>
      <c r="E14" s="5" t="n">
        <v>188</v>
      </c>
      <c r="F14" s="6">
        <f>188/631</f>
        <v/>
      </c>
      <c r="G14" s="7" t="inlineStr">
        <is>
          <t>AAP</t>
        </is>
      </c>
      <c r="H14" s="5" t="n">
        <v>120</v>
      </c>
      <c r="I14" s="6">
        <f>120/604</f>
        <v/>
      </c>
      <c r="J14" s="7" t="inlineStr">
        <is>
          <t>AAP</t>
        </is>
      </c>
      <c r="K14" s="5" t="n">
        <v>-68</v>
      </c>
      <c r="L14" s="8">
        <f>I14-F14</f>
        <v/>
      </c>
      <c r="M14" s="5" t="n">
        <v>54</v>
      </c>
      <c r="N14" s="5" t="n">
        <v>604</v>
      </c>
    </row>
    <row r="15" ht="20" customHeight="1">
      <c r="A15" s="9" t="n">
        <v>14</v>
      </c>
      <c r="B15" s="10" t="inlineStr">
        <is>
          <t>Badesh</t>
        </is>
      </c>
      <c r="C15" s="10" t="inlineStr">
        <is>
          <t>ਬਦੇਸ਼ਾਂ</t>
        </is>
      </c>
      <c r="D15" s="4" t="inlineStr">
        <is>
          <t>Gained in 2024 (New Win)</t>
        </is>
      </c>
      <c r="E15" s="12" t="n">
        <v>139</v>
      </c>
      <c r="F15" s="13">
        <f>139/491</f>
        <v/>
      </c>
      <c r="G15" s="14" t="inlineStr">
        <is>
          <t>AAP</t>
        </is>
      </c>
      <c r="H15" s="12" t="n">
        <v>166</v>
      </c>
      <c r="I15" s="13">
        <f>166/453</f>
        <v/>
      </c>
      <c r="J15" s="14" t="inlineStr">
        <is>
          <t>INC</t>
        </is>
      </c>
      <c r="K15" s="12" t="n">
        <v>27</v>
      </c>
      <c r="L15" s="15">
        <f>I15-F15</f>
        <v/>
      </c>
      <c r="M15" s="12" t="n">
        <v>49</v>
      </c>
      <c r="N15" s="12" t="n">
        <v>453</v>
      </c>
    </row>
    <row r="16" ht="20" customHeight="1">
      <c r="A16" s="2" t="n">
        <v>15</v>
      </c>
      <c r="B16" s="3" t="inlineStr">
        <is>
          <t>Sandhwan</t>
        </is>
      </c>
      <c r="C16" s="3" t="inlineStr">
        <is>
          <t>ਸੰਧਵਾਂ</t>
        </is>
      </c>
      <c r="D16" s="16" t="inlineStr">
        <is>
          <t>Lost Both Times (Deficit)</t>
        </is>
      </c>
      <c r="E16" s="5" t="n">
        <v>126</v>
      </c>
      <c r="F16" s="6">
        <f>126/440</f>
        <v/>
      </c>
      <c r="G16" s="7" t="inlineStr">
        <is>
          <t>AAP</t>
        </is>
      </c>
      <c r="H16" s="5" t="n">
        <v>160</v>
      </c>
      <c r="I16" s="6">
        <f>160/426</f>
        <v/>
      </c>
      <c r="J16" s="7" t="inlineStr">
        <is>
          <t>AAP</t>
        </is>
      </c>
      <c r="K16" s="5" t="n">
        <v>34</v>
      </c>
      <c r="L16" s="8">
        <f>I16-F16</f>
        <v/>
      </c>
      <c r="M16" s="5" t="n">
        <v>12</v>
      </c>
      <c r="N16" s="5" t="n">
        <v>426</v>
      </c>
    </row>
    <row r="17" ht="20" customHeight="1">
      <c r="A17" s="9" t="n">
        <v>16</v>
      </c>
      <c r="B17" s="10" t="inlineStr">
        <is>
          <t>Kalyanpur</t>
        </is>
      </c>
      <c r="C17" s="10" t="inlineStr">
        <is>
          <t>ਕਲਿਆਨਪੁਰ</t>
        </is>
      </c>
      <c r="D17" s="4" t="inlineStr">
        <is>
          <t>Gained in 2024 (New Win)</t>
        </is>
      </c>
      <c r="E17" s="12" t="n">
        <v>138</v>
      </c>
      <c r="F17" s="13">
        <f>138/598</f>
        <v/>
      </c>
      <c r="G17" s="14" t="inlineStr">
        <is>
          <t>SAD</t>
        </is>
      </c>
      <c r="H17" s="12" t="n">
        <v>228</v>
      </c>
      <c r="I17" s="13">
        <f>228/542</f>
        <v/>
      </c>
      <c r="J17" s="14" t="inlineStr">
        <is>
          <t>INC</t>
        </is>
      </c>
      <c r="K17" s="12" t="n">
        <v>90</v>
      </c>
      <c r="L17" s="15">
        <f>I17-F17</f>
        <v/>
      </c>
      <c r="M17" s="12" t="n">
        <v>82</v>
      </c>
      <c r="N17" s="12" t="n">
        <v>542</v>
      </c>
    </row>
    <row r="18" ht="20" customHeight="1">
      <c r="A18" s="2" t="n">
        <v>17</v>
      </c>
      <c r="B18" s="3" t="inlineStr">
        <is>
          <t>Kalyanpur</t>
        </is>
      </c>
      <c r="C18" s="3" t="inlineStr">
        <is>
          <t>ਕਲਿਆਨਪੁਰ</t>
        </is>
      </c>
      <c r="D18" s="4" t="inlineStr">
        <is>
          <t>Gained in 2024 (New Win)</t>
        </is>
      </c>
      <c r="E18" s="5" t="n">
        <v>168</v>
      </c>
      <c r="F18" s="6">
        <f>168/737</f>
        <v/>
      </c>
      <c r="G18" s="7" t="inlineStr">
        <is>
          <t>SAD</t>
        </is>
      </c>
      <c r="H18" s="5" t="n">
        <v>297</v>
      </c>
      <c r="I18" s="6">
        <f>297/749</f>
        <v/>
      </c>
      <c r="J18" s="7" t="inlineStr">
        <is>
          <t>INC</t>
        </is>
      </c>
      <c r="K18" s="5" t="n">
        <v>129</v>
      </c>
      <c r="L18" s="8">
        <f>I18-F18</f>
        <v/>
      </c>
      <c r="M18" s="5" t="n">
        <v>117</v>
      </c>
      <c r="N18" s="5" t="n">
        <v>749</v>
      </c>
    </row>
    <row r="19" ht="20" customHeight="1">
      <c r="A19" s="9" t="n">
        <v>18</v>
      </c>
      <c r="B19" s="10" t="inlineStr">
        <is>
          <t>Gurdas Nangal + Badiyawala</t>
        </is>
      </c>
      <c r="C19" s="10" t="inlineStr">
        <is>
          <t>ਗੁਰਦਾਸ ਨੰਗਲ + ਬੜੀਆਵਾਲਾ</t>
        </is>
      </c>
      <c r="D19" s="11" t="inlineStr">
        <is>
          <t>Won Both Times (Stronghold)</t>
        </is>
      </c>
      <c r="E19" s="12" t="n">
        <v>269</v>
      </c>
      <c r="F19" s="13">
        <f>269/649</f>
        <v/>
      </c>
      <c r="G19" s="14" t="inlineStr">
        <is>
          <t>INC</t>
        </is>
      </c>
      <c r="H19" s="12" t="n">
        <v>244</v>
      </c>
      <c r="I19" s="13">
        <f>244/556</f>
        <v/>
      </c>
      <c r="J19" s="14" t="inlineStr">
        <is>
          <t>INC</t>
        </is>
      </c>
      <c r="K19" s="12" t="n">
        <v>-25</v>
      </c>
      <c r="L19" s="15">
        <f>I19-F19</f>
        <v/>
      </c>
      <c r="M19" s="12" t="n">
        <v>27</v>
      </c>
      <c r="N19" s="12" t="n">
        <v>556</v>
      </c>
    </row>
    <row r="20" ht="20" customHeight="1">
      <c r="A20" s="2" t="n">
        <v>19</v>
      </c>
      <c r="B20" s="3" t="inlineStr">
        <is>
          <t>Gurdas Nangal + Badiyawala</t>
        </is>
      </c>
      <c r="C20" s="3" t="inlineStr">
        <is>
          <t>ਗੁਰਦਾਸ ਨੰਗਲ + ਬੜੀਆਵਾਲਾ</t>
        </is>
      </c>
      <c r="D20" s="4" t="inlineStr">
        <is>
          <t>Gained in 2024 (New Win)</t>
        </is>
      </c>
      <c r="E20" s="5" t="n">
        <v>214</v>
      </c>
      <c r="F20" s="6">
        <f>214/808</f>
        <v/>
      </c>
      <c r="G20" s="7" t="inlineStr">
        <is>
          <t>AAP</t>
        </is>
      </c>
      <c r="H20" s="5" t="n">
        <v>295</v>
      </c>
      <c r="I20" s="6">
        <f>295/676</f>
        <v/>
      </c>
      <c r="J20" s="7" t="inlineStr">
        <is>
          <t>INC</t>
        </is>
      </c>
      <c r="K20" s="5" t="n">
        <v>81</v>
      </c>
      <c r="L20" s="8">
        <f>I20-F20</f>
        <v/>
      </c>
      <c r="M20" s="5" t="n">
        <v>59</v>
      </c>
      <c r="N20" s="5" t="n">
        <v>676</v>
      </c>
    </row>
    <row r="21" ht="20" customHeight="1">
      <c r="A21" s="9" t="n">
        <v>20</v>
      </c>
      <c r="B21" s="10" t="inlineStr">
        <is>
          <t>Gurdas Nangal + Badiyawala</t>
        </is>
      </c>
      <c r="C21" s="10" t="inlineStr">
        <is>
          <t>ਗੁਰਦਾਸ ਨੰਗਲ + ਬੜੀਆਵਾਲਾ</t>
        </is>
      </c>
      <c r="D21" s="4" t="inlineStr">
        <is>
          <t>Gained in 2024 (New Win)</t>
        </is>
      </c>
      <c r="E21" s="12" t="n">
        <v>120</v>
      </c>
      <c r="F21" s="13">
        <f>120/612</f>
        <v/>
      </c>
      <c r="G21" s="14" t="inlineStr">
        <is>
          <t>AAP</t>
        </is>
      </c>
      <c r="H21" s="12" t="n">
        <v>193</v>
      </c>
      <c r="I21" s="13">
        <f>193/498</f>
        <v/>
      </c>
      <c r="J21" s="14" t="inlineStr">
        <is>
          <t>INC</t>
        </is>
      </c>
      <c r="K21" s="12" t="n">
        <v>73</v>
      </c>
      <c r="L21" s="15">
        <f>I21-F21</f>
        <v/>
      </c>
      <c r="M21" s="12" t="n">
        <v>21</v>
      </c>
      <c r="N21" s="12" t="n">
        <v>498</v>
      </c>
    </row>
    <row r="22" ht="20" customHeight="1">
      <c r="A22" s="2" t="n">
        <v>21</v>
      </c>
      <c r="B22" s="3" t="inlineStr">
        <is>
          <t>Japuwal</t>
        </is>
      </c>
      <c r="C22" s="3" t="inlineStr">
        <is>
          <t>ਜਾਪੂਵਾਲ</t>
        </is>
      </c>
      <c r="D22" s="11" t="inlineStr">
        <is>
          <t>Won Both Times (Stronghold)</t>
        </is>
      </c>
      <c r="E22" s="5" t="n">
        <v>173</v>
      </c>
      <c r="F22" s="6">
        <f>173/381</f>
        <v/>
      </c>
      <c r="G22" s="7" t="inlineStr">
        <is>
          <t>INC</t>
        </is>
      </c>
      <c r="H22" s="5" t="n">
        <v>170</v>
      </c>
      <c r="I22" s="6">
        <f>170/349</f>
        <v/>
      </c>
      <c r="J22" s="7" t="inlineStr">
        <is>
          <t>INC</t>
        </is>
      </c>
      <c r="K22" s="5" t="n">
        <v>-3</v>
      </c>
      <c r="L22" s="8">
        <f>I22-F22</f>
        <v/>
      </c>
      <c r="M22" s="5" t="n">
        <v>89</v>
      </c>
      <c r="N22" s="5" t="n">
        <v>349</v>
      </c>
    </row>
    <row r="23" ht="20" customHeight="1">
      <c r="A23" s="9" t="n">
        <v>22</v>
      </c>
      <c r="B23" s="10" t="inlineStr">
        <is>
          <t>Dhariwal</t>
        </is>
      </c>
      <c r="C23" s="10" t="inlineStr">
        <is>
          <t>ਧਾਰੀਵਾਲ</t>
        </is>
      </c>
      <c r="D23" s="18" t="inlineStr">
        <is>
          <t>Lost in 2024 (to AAP)</t>
        </is>
      </c>
      <c r="E23" s="12" t="n">
        <v>122</v>
      </c>
      <c r="F23" s="13">
        <f>122/353</f>
        <v/>
      </c>
      <c r="G23" s="14" t="inlineStr">
        <is>
          <t>INC</t>
        </is>
      </c>
      <c r="H23" s="12" t="n">
        <v>84</v>
      </c>
      <c r="I23" s="13">
        <f>84/327</f>
        <v/>
      </c>
      <c r="J23" s="14" t="inlineStr">
        <is>
          <t>AAP</t>
        </is>
      </c>
      <c r="K23" s="12" t="n">
        <v>-38</v>
      </c>
      <c r="L23" s="15">
        <f>I23-F23</f>
        <v/>
      </c>
      <c r="M23" s="12" t="n">
        <v>97</v>
      </c>
      <c r="N23" s="12" t="n">
        <v>327</v>
      </c>
    </row>
    <row r="24" ht="20" customHeight="1">
      <c r="A24" s="2" t="n">
        <v>23</v>
      </c>
      <c r="B24" s="3" t="inlineStr">
        <is>
          <t>Sohal</t>
        </is>
      </c>
      <c r="C24" s="3" t="inlineStr">
        <is>
          <t>ਸੋਹਲ</t>
        </is>
      </c>
      <c r="D24" s="4" t="inlineStr">
        <is>
          <t>Gained in 2024 (New Win)</t>
        </is>
      </c>
      <c r="E24" s="5" t="n">
        <v>272</v>
      </c>
      <c r="F24" s="6">
        <f>272/856</f>
        <v/>
      </c>
      <c r="G24" s="7" t="inlineStr">
        <is>
          <t>AAP</t>
        </is>
      </c>
      <c r="H24" s="5" t="n">
        <v>332</v>
      </c>
      <c r="I24" s="6">
        <f>332/738</f>
        <v/>
      </c>
      <c r="J24" s="7" t="inlineStr">
        <is>
          <t>INC</t>
        </is>
      </c>
      <c r="K24" s="5" t="n">
        <v>60</v>
      </c>
      <c r="L24" s="8">
        <f>I24-F24</f>
        <v/>
      </c>
      <c r="M24" s="5" t="n">
        <v>160</v>
      </c>
      <c r="N24" s="5" t="n">
        <v>738</v>
      </c>
    </row>
    <row r="25" ht="20" customHeight="1">
      <c r="A25" s="9" t="n">
        <v>24</v>
      </c>
      <c r="B25" s="10" t="inlineStr">
        <is>
          <t>Sohal</t>
        </is>
      </c>
      <c r="C25" s="10" t="inlineStr">
        <is>
          <t>ਸੋਹਲ</t>
        </is>
      </c>
      <c r="D25" s="4" t="inlineStr">
        <is>
          <t>Gained in 2024 (New Win)</t>
        </is>
      </c>
      <c r="E25" s="12" t="n">
        <v>183</v>
      </c>
      <c r="F25" s="13">
        <f>183/772</f>
        <v/>
      </c>
      <c r="G25" s="14" t="inlineStr">
        <is>
          <t>AAP</t>
        </is>
      </c>
      <c r="H25" s="12" t="n">
        <v>237</v>
      </c>
      <c r="I25" s="13">
        <f>237/627</f>
        <v/>
      </c>
      <c r="J25" s="14" t="inlineStr">
        <is>
          <t>INC</t>
        </is>
      </c>
      <c r="K25" s="12" t="n">
        <v>54</v>
      </c>
      <c r="L25" s="15">
        <f>I25-F25</f>
        <v/>
      </c>
      <c r="M25" s="12" t="n">
        <v>83</v>
      </c>
      <c r="N25" s="12" t="n">
        <v>627</v>
      </c>
    </row>
    <row r="26" ht="20" customHeight="1">
      <c r="A26" s="2" t="n">
        <v>25</v>
      </c>
      <c r="B26" s="3" t="inlineStr">
        <is>
          <t>Sohal</t>
        </is>
      </c>
      <c r="C26" s="3" t="inlineStr">
        <is>
          <t>ਸੋਹਲ</t>
        </is>
      </c>
      <c r="D26" s="4" t="inlineStr">
        <is>
          <t>Gained in 2024 (New Win)</t>
        </is>
      </c>
      <c r="E26" s="5" t="n">
        <v>229</v>
      </c>
      <c r="F26" s="6">
        <f>229/729</f>
        <v/>
      </c>
      <c r="G26" s="7" t="inlineStr">
        <is>
          <t>AAP</t>
        </is>
      </c>
      <c r="H26" s="5" t="n">
        <v>269</v>
      </c>
      <c r="I26" s="6">
        <f>269/648</f>
        <v/>
      </c>
      <c r="J26" s="7" t="inlineStr">
        <is>
          <t>INC</t>
        </is>
      </c>
      <c r="K26" s="5" t="n">
        <v>40</v>
      </c>
      <c r="L26" s="8">
        <f>I26-F26</f>
        <v/>
      </c>
      <c r="M26" s="5" t="n">
        <v>119</v>
      </c>
      <c r="N26" s="5" t="n">
        <v>648</v>
      </c>
    </row>
    <row r="27" ht="20" customHeight="1">
      <c r="A27" s="9" t="n">
        <v>26</v>
      </c>
      <c r="B27" s="10" t="inlineStr">
        <is>
          <t>Sohal</t>
        </is>
      </c>
      <c r="C27" s="10" t="inlineStr">
        <is>
          <t>ਸੋਹਲ</t>
        </is>
      </c>
      <c r="D27" s="4" t="inlineStr">
        <is>
          <t>Gained in 2024 (New Win)</t>
        </is>
      </c>
      <c r="E27" s="12" t="n">
        <v>163</v>
      </c>
      <c r="F27" s="13">
        <f>163/677</f>
        <v/>
      </c>
      <c r="G27" s="14" t="inlineStr">
        <is>
          <t>AAP</t>
        </is>
      </c>
      <c r="H27" s="12" t="n">
        <v>235</v>
      </c>
      <c r="I27" s="13">
        <f>235/565</f>
        <v/>
      </c>
      <c r="J27" s="14" t="inlineStr">
        <is>
          <t>INC</t>
        </is>
      </c>
      <c r="K27" s="12" t="n">
        <v>72</v>
      </c>
      <c r="L27" s="15">
        <f>I27-F27</f>
        <v/>
      </c>
      <c r="M27" s="12" t="n">
        <v>109</v>
      </c>
      <c r="N27" s="12" t="n">
        <v>565</v>
      </c>
    </row>
    <row r="28" ht="20" customHeight="1">
      <c r="A28" s="2" t="n">
        <v>27</v>
      </c>
      <c r="B28" s="3" t="inlineStr">
        <is>
          <t>Mahandev Kalan</t>
        </is>
      </c>
      <c r="C28" s="3" t="inlineStr">
        <is>
          <t>ਮਹਾਂਦੇਵ ਕਲਾਂ</t>
        </is>
      </c>
      <c r="D28" s="16" t="inlineStr">
        <is>
          <t>Lost Both Times (Deficit)</t>
        </is>
      </c>
      <c r="E28" s="5" t="n">
        <v>91</v>
      </c>
      <c r="F28" s="6">
        <f>91/368</f>
        <v/>
      </c>
      <c r="G28" s="7" t="inlineStr">
        <is>
          <t>AAP</t>
        </is>
      </c>
      <c r="H28" s="5" t="n">
        <v>110</v>
      </c>
      <c r="I28" s="6">
        <f>110/335</f>
        <v/>
      </c>
      <c r="J28" s="7" t="inlineStr">
        <is>
          <t>AAP</t>
        </is>
      </c>
      <c r="K28" s="5" t="n">
        <v>19</v>
      </c>
      <c r="L28" s="8">
        <f>I28-F28</f>
        <v/>
      </c>
      <c r="M28" s="5" t="n">
        <v>12</v>
      </c>
      <c r="N28" s="5" t="n">
        <v>335</v>
      </c>
    </row>
    <row r="29" ht="20" customHeight="1">
      <c r="A29" s="9" t="n">
        <v>28</v>
      </c>
      <c r="B29" s="10" t="inlineStr">
        <is>
          <t>Pir Di Sain</t>
        </is>
      </c>
      <c r="C29" s="10" t="inlineStr">
        <is>
          <t>ਪੀਰ ਦੀ ਸੈਨ</t>
        </is>
      </c>
      <c r="D29" s="16" t="inlineStr">
        <is>
          <t>Lost Both Times (Deficit)</t>
        </is>
      </c>
      <c r="E29" s="12" t="n">
        <v>148</v>
      </c>
      <c r="F29" s="13">
        <f>148/362</f>
        <v/>
      </c>
      <c r="G29" s="14" t="inlineStr">
        <is>
          <t>AAP</t>
        </is>
      </c>
      <c r="H29" s="12" t="n">
        <v>140</v>
      </c>
      <c r="I29" s="13">
        <f>140/362</f>
        <v/>
      </c>
      <c r="J29" s="14" t="inlineStr">
        <is>
          <t>AAP</t>
        </is>
      </c>
      <c r="K29" s="12" t="n">
        <v>-8</v>
      </c>
      <c r="L29" s="15">
        <f>I29-F29</f>
        <v/>
      </c>
      <c r="M29" s="12" t="n">
        <v>63</v>
      </c>
      <c r="N29" s="12" t="n">
        <v>362</v>
      </c>
    </row>
    <row r="30" ht="20" customHeight="1">
      <c r="A30" s="2" t="n">
        <v>29</v>
      </c>
      <c r="B30" s="3" t="inlineStr">
        <is>
          <t>Trija Nagar + Rania</t>
        </is>
      </c>
      <c r="C30" s="3" t="inlineStr">
        <is>
          <t>ਤਰੀਜਾ ਨੰਗਰ + ਰਣੀਆ</t>
        </is>
      </c>
      <c r="D30" s="11" t="inlineStr">
        <is>
          <t>Won Both Times (Stronghold)</t>
        </is>
      </c>
      <c r="E30" s="5" t="n">
        <v>293</v>
      </c>
      <c r="F30" s="6">
        <f>293/778</f>
        <v/>
      </c>
      <c r="G30" s="7" t="inlineStr">
        <is>
          <t>INC</t>
        </is>
      </c>
      <c r="H30" s="5" t="n">
        <v>316</v>
      </c>
      <c r="I30" s="6">
        <f>316/732</f>
        <v/>
      </c>
      <c r="J30" s="7" t="inlineStr">
        <is>
          <t>INC</t>
        </is>
      </c>
      <c r="K30" s="5" t="n">
        <v>23</v>
      </c>
      <c r="L30" s="8">
        <f>I30-F30</f>
        <v/>
      </c>
      <c r="M30" s="5" t="n">
        <v>65</v>
      </c>
      <c r="N30" s="5" t="n">
        <v>732</v>
      </c>
    </row>
    <row r="31" ht="20" customHeight="1">
      <c r="A31" s="9" t="n">
        <v>30</v>
      </c>
      <c r="B31" s="10" t="inlineStr">
        <is>
          <t>Rania</t>
        </is>
      </c>
      <c r="C31" s="10" t="inlineStr">
        <is>
          <t>ਰਣੀਆਂ</t>
        </is>
      </c>
      <c r="D31" s="4" t="inlineStr">
        <is>
          <t>Gained in 2024 (New Win)</t>
        </is>
      </c>
      <c r="E31" s="12" t="n">
        <v>196</v>
      </c>
      <c r="F31" s="13">
        <f>196/570</f>
        <v/>
      </c>
      <c r="G31" s="14" t="inlineStr">
        <is>
          <t>AAP</t>
        </is>
      </c>
      <c r="H31" s="12" t="n">
        <v>291</v>
      </c>
      <c r="I31" s="13">
        <f>291/560</f>
        <v/>
      </c>
      <c r="J31" s="14" t="inlineStr">
        <is>
          <t>INC</t>
        </is>
      </c>
      <c r="K31" s="12" t="n">
        <v>95</v>
      </c>
      <c r="L31" s="15">
        <f>I31-F31</f>
        <v/>
      </c>
      <c r="M31" s="12" t="n">
        <v>121</v>
      </c>
      <c r="N31" s="12" t="n">
        <v>560</v>
      </c>
    </row>
    <row r="32" ht="20" customHeight="1">
      <c r="A32" s="2" t="n">
        <v>31</v>
      </c>
      <c r="B32" s="3" t="inlineStr">
        <is>
          <t>Rania</t>
        </is>
      </c>
      <c r="C32" s="3" t="inlineStr">
        <is>
          <t>ਰਣੀਆ</t>
        </is>
      </c>
      <c r="D32" s="4" t="inlineStr">
        <is>
          <t>Gained in 2024 (New Win)</t>
        </is>
      </c>
      <c r="E32" s="5" t="n">
        <v>146</v>
      </c>
      <c r="F32" s="6">
        <f>146/541</f>
        <v/>
      </c>
      <c r="G32" s="7" t="inlineStr">
        <is>
          <t>SAD</t>
        </is>
      </c>
      <c r="H32" s="5" t="n">
        <v>257</v>
      </c>
      <c r="I32" s="6">
        <f>257/537</f>
        <v/>
      </c>
      <c r="J32" s="7" t="inlineStr">
        <is>
          <t>INC</t>
        </is>
      </c>
      <c r="K32" s="5" t="n">
        <v>111</v>
      </c>
      <c r="L32" s="8">
        <f>I32-F32</f>
        <v/>
      </c>
      <c r="M32" s="5" t="n">
        <v>78</v>
      </c>
      <c r="N32" s="5" t="n">
        <v>537</v>
      </c>
    </row>
    <row r="33" ht="20" customHeight="1">
      <c r="A33" s="9" t="n">
        <v>32</v>
      </c>
      <c r="B33" s="10" t="inlineStr">
        <is>
          <t>Rania</t>
        </is>
      </c>
      <c r="C33" s="10" t="inlineStr">
        <is>
          <t>ਰਣੀਆ</t>
        </is>
      </c>
      <c r="D33" s="4" t="inlineStr">
        <is>
          <t>Gained in 2024 (New Win)</t>
        </is>
      </c>
      <c r="E33" s="12" t="n">
        <v>177</v>
      </c>
      <c r="F33" s="13">
        <f>177/725</f>
        <v/>
      </c>
      <c r="G33" s="14" t="inlineStr">
        <is>
          <t>AAP</t>
        </is>
      </c>
      <c r="H33" s="12" t="n">
        <v>306</v>
      </c>
      <c r="I33" s="13">
        <f>306/713</f>
        <v/>
      </c>
      <c r="J33" s="14" t="inlineStr">
        <is>
          <t>INC</t>
        </is>
      </c>
      <c r="K33" s="12" t="n">
        <v>129</v>
      </c>
      <c r="L33" s="15">
        <f>I33-F33</f>
        <v/>
      </c>
      <c r="M33" s="12" t="n">
        <v>60</v>
      </c>
      <c r="N33" s="12" t="n">
        <v>713</v>
      </c>
    </row>
    <row r="34" ht="20" customHeight="1">
      <c r="A34" s="2" t="n">
        <v>33</v>
      </c>
      <c r="B34" s="3" t="inlineStr">
        <is>
          <t>Dhariwal</t>
        </is>
      </c>
      <c r="C34" s="3" t="inlineStr">
        <is>
          <t>ਧਾਰੀਵਾਲ</t>
        </is>
      </c>
      <c r="D34" s="17" t="inlineStr">
        <is>
          <t>Weak Booth (&lt; 20% Share)</t>
        </is>
      </c>
      <c r="E34" s="5" t="n">
        <v>244</v>
      </c>
      <c r="F34" s="6">
        <f>244/774</f>
        <v/>
      </c>
      <c r="G34" s="7" t="inlineStr">
        <is>
          <t>AAP</t>
        </is>
      </c>
      <c r="H34" s="5" t="n">
        <v>141</v>
      </c>
      <c r="I34" s="6">
        <f>141/743</f>
        <v/>
      </c>
      <c r="J34" s="7" t="inlineStr">
        <is>
          <t>BJP</t>
        </is>
      </c>
      <c r="K34" s="5" t="n">
        <v>-103</v>
      </c>
      <c r="L34" s="8">
        <f>I34-F34</f>
        <v/>
      </c>
      <c r="M34" s="5" t="n">
        <v>215</v>
      </c>
      <c r="N34" s="5" t="n">
        <v>743</v>
      </c>
    </row>
    <row r="35" ht="20" customHeight="1">
      <c r="A35" s="9" t="n">
        <v>34</v>
      </c>
      <c r="B35" s="10" t="inlineStr">
        <is>
          <t>Dhariwal</t>
        </is>
      </c>
      <c r="C35" s="10" t="inlineStr">
        <is>
          <t>ਧਾਰੀਵਾਲ</t>
        </is>
      </c>
      <c r="D35" s="17" t="inlineStr">
        <is>
          <t>Weak Booth (&lt; 20% Share)</t>
        </is>
      </c>
      <c r="E35" s="12" t="n">
        <v>210</v>
      </c>
      <c r="F35" s="13">
        <f>210/756</f>
        <v/>
      </c>
      <c r="G35" s="14" t="inlineStr">
        <is>
          <t>AAP</t>
        </is>
      </c>
      <c r="H35" s="12" t="n">
        <v>107</v>
      </c>
      <c r="I35" s="13">
        <f>107/750</f>
        <v/>
      </c>
      <c r="J35" s="14" t="inlineStr">
        <is>
          <t>BJP</t>
        </is>
      </c>
      <c r="K35" s="12" t="n">
        <v>-103</v>
      </c>
      <c r="L35" s="15">
        <f>I35-F35</f>
        <v/>
      </c>
      <c r="M35" s="12" t="n">
        <v>195</v>
      </c>
      <c r="N35" s="12" t="n">
        <v>750</v>
      </c>
    </row>
    <row r="36" ht="20" customHeight="1">
      <c r="A36" s="2" t="n">
        <v>35</v>
      </c>
      <c r="B36" s="3" t="inlineStr">
        <is>
          <t>Dhariwal</t>
        </is>
      </c>
      <c r="C36" s="3" t="inlineStr">
        <is>
          <t>ਧਾਰੀਵਾਲ</t>
        </is>
      </c>
      <c r="D36" s="16" t="inlineStr">
        <is>
          <t>Lost Both Times (Deficit)</t>
        </is>
      </c>
      <c r="E36" s="5" t="n">
        <v>157</v>
      </c>
      <c r="F36" s="6">
        <f>157/640</f>
        <v/>
      </c>
      <c r="G36" s="7" t="inlineStr">
        <is>
          <t>AAP</t>
        </is>
      </c>
      <c r="H36" s="5" t="n">
        <v>134</v>
      </c>
      <c r="I36" s="6">
        <f>134/576</f>
        <v/>
      </c>
      <c r="J36" s="7" t="inlineStr">
        <is>
          <t>BJP</t>
        </is>
      </c>
      <c r="K36" s="5" t="n">
        <v>-23</v>
      </c>
      <c r="L36" s="8">
        <f>I36-F36</f>
        <v/>
      </c>
      <c r="M36" s="5" t="n">
        <v>80</v>
      </c>
      <c r="N36" s="5" t="n">
        <v>576</v>
      </c>
    </row>
    <row r="37" ht="20" customHeight="1">
      <c r="A37" s="9" t="n">
        <v>36</v>
      </c>
      <c r="B37" s="10" t="inlineStr">
        <is>
          <t>Dhariwal</t>
        </is>
      </c>
      <c r="C37" s="10" t="inlineStr">
        <is>
          <t>ਧਾਰੀਵਾਲ</t>
        </is>
      </c>
      <c r="D37" s="18" t="inlineStr">
        <is>
          <t>Lost in 2024 (to BJP)</t>
        </is>
      </c>
      <c r="E37" s="12" t="n">
        <v>147</v>
      </c>
      <c r="F37" s="13">
        <f>147/420</f>
        <v/>
      </c>
      <c r="G37" s="14" t="inlineStr">
        <is>
          <t>INC</t>
        </is>
      </c>
      <c r="H37" s="12" t="n">
        <v>84</v>
      </c>
      <c r="I37" s="13">
        <f>84/398</f>
        <v/>
      </c>
      <c r="J37" s="14" t="inlineStr">
        <is>
          <t>BJP</t>
        </is>
      </c>
      <c r="K37" s="12" t="n">
        <v>-63</v>
      </c>
      <c r="L37" s="15">
        <f>I37-F37</f>
        <v/>
      </c>
      <c r="M37" s="12" t="n">
        <v>96</v>
      </c>
      <c r="N37" s="12" t="n">
        <v>398</v>
      </c>
    </row>
    <row r="38" ht="20" customHeight="1">
      <c r="A38" s="2" t="n">
        <v>37</v>
      </c>
      <c r="B38" s="3" t="inlineStr">
        <is>
          <t>Dhariwal</t>
        </is>
      </c>
      <c r="C38" s="3" t="inlineStr">
        <is>
          <t>ਧਾਰੀਵਾਲ</t>
        </is>
      </c>
      <c r="D38" s="17" t="inlineStr">
        <is>
          <t>Weak Booth (&lt; 20% Share)</t>
        </is>
      </c>
      <c r="E38" s="5" t="n">
        <v>162</v>
      </c>
      <c r="F38" s="6">
        <f>162/599</f>
        <v/>
      </c>
      <c r="G38" s="7" t="inlineStr">
        <is>
          <t>AAP</t>
        </is>
      </c>
      <c r="H38" s="5" t="n">
        <v>99</v>
      </c>
      <c r="I38" s="6">
        <f>99/547</f>
        <v/>
      </c>
      <c r="J38" s="7" t="inlineStr">
        <is>
          <t>BJP</t>
        </is>
      </c>
      <c r="K38" s="5" t="n">
        <v>-63</v>
      </c>
      <c r="L38" s="8">
        <f>I38-F38</f>
        <v/>
      </c>
      <c r="M38" s="5" t="n">
        <v>233</v>
      </c>
      <c r="N38" s="5" t="n">
        <v>547</v>
      </c>
    </row>
    <row r="39" ht="20" customHeight="1">
      <c r="A39" s="9" t="n">
        <v>38</v>
      </c>
      <c r="B39" s="10" t="inlineStr">
        <is>
          <t>Dhariwal</t>
        </is>
      </c>
      <c r="C39" s="10" t="inlineStr">
        <is>
          <t>ਧਾਰੀਵਾਲ</t>
        </is>
      </c>
      <c r="D39" s="18" t="inlineStr">
        <is>
          <t>Lost in 2024 (to AAP)</t>
        </is>
      </c>
      <c r="E39" s="12" t="n">
        <v>244</v>
      </c>
      <c r="F39" s="13">
        <f>244/654</f>
        <v/>
      </c>
      <c r="G39" s="14" t="inlineStr">
        <is>
          <t>INC</t>
        </is>
      </c>
      <c r="H39" s="12" t="n">
        <v>167</v>
      </c>
      <c r="I39" s="13">
        <f>167/569</f>
        <v/>
      </c>
      <c r="J39" s="14" t="inlineStr">
        <is>
          <t>AAP</t>
        </is>
      </c>
      <c r="K39" s="12" t="n">
        <v>-77</v>
      </c>
      <c r="L39" s="15">
        <f>I39-F39</f>
        <v/>
      </c>
      <c r="M39" s="12" t="n">
        <v>88</v>
      </c>
      <c r="N39" s="12" t="n">
        <v>569</v>
      </c>
    </row>
    <row r="40" ht="20" customHeight="1">
      <c r="A40" s="2" t="n">
        <v>39</v>
      </c>
      <c r="B40" s="3" t="inlineStr">
        <is>
          <t>Dhariwal</t>
        </is>
      </c>
      <c r="C40" s="3" t="inlineStr">
        <is>
          <t>ਧਾਰੀਵਾਲ</t>
        </is>
      </c>
      <c r="D40" s="4" t="inlineStr">
        <is>
          <t>Gained in 2024 (New Win)</t>
        </is>
      </c>
      <c r="E40" s="5" t="n">
        <v>63</v>
      </c>
      <c r="F40" s="6">
        <f>63/203</f>
        <v/>
      </c>
      <c r="G40" s="7" t="inlineStr">
        <is>
          <t>AAP</t>
        </is>
      </c>
      <c r="H40" s="5" t="n">
        <v>115</v>
      </c>
      <c r="I40" s="6">
        <f>115/205</f>
        <v/>
      </c>
      <c r="J40" s="7" t="inlineStr">
        <is>
          <t>INC</t>
        </is>
      </c>
      <c r="K40" s="5" t="n">
        <v>52</v>
      </c>
      <c r="L40" s="8">
        <f>I40-F40</f>
        <v/>
      </c>
      <c r="M40" s="5" t="n">
        <v>60</v>
      </c>
      <c r="N40" s="5" t="n">
        <v>205</v>
      </c>
    </row>
    <row r="41" ht="20" customHeight="1">
      <c r="A41" s="9" t="n">
        <v>40</v>
      </c>
      <c r="B41" s="10" t="inlineStr">
        <is>
          <t>Dhariwal</t>
        </is>
      </c>
      <c r="C41" s="10" t="inlineStr">
        <is>
          <t>ਧਾਰੀਵਾਲ</t>
        </is>
      </c>
      <c r="D41" s="4" t="inlineStr">
        <is>
          <t>Gained in 2024 (New Win)</t>
        </is>
      </c>
      <c r="E41" s="12" t="n">
        <v>120</v>
      </c>
      <c r="F41" s="13">
        <f>120/322</f>
        <v/>
      </c>
      <c r="G41" s="14" t="inlineStr">
        <is>
          <t>AAP</t>
        </is>
      </c>
      <c r="H41" s="12" t="n">
        <v>163</v>
      </c>
      <c r="I41" s="13">
        <f>163/277</f>
        <v/>
      </c>
      <c r="J41" s="14" t="inlineStr">
        <is>
          <t>INC</t>
        </is>
      </c>
      <c r="K41" s="12" t="n">
        <v>43</v>
      </c>
      <c r="L41" s="15">
        <f>I41-F41</f>
        <v/>
      </c>
      <c r="M41" s="12" t="n">
        <v>103</v>
      </c>
      <c r="N41" s="12" t="n">
        <v>277</v>
      </c>
    </row>
    <row r="42" ht="20" customHeight="1">
      <c r="A42" s="2" t="n">
        <v>41</v>
      </c>
      <c r="B42" s="3" t="inlineStr">
        <is>
          <t>Dhariwal</t>
        </is>
      </c>
      <c r="C42" s="3" t="inlineStr">
        <is>
          <t>ਧਾਰੀਵਾਲ</t>
        </is>
      </c>
      <c r="D42" s="16" t="inlineStr">
        <is>
          <t>Lost Both Times (Deficit)</t>
        </is>
      </c>
      <c r="E42" s="5" t="n">
        <v>159</v>
      </c>
      <c r="F42" s="6">
        <f>159/539</f>
        <v/>
      </c>
      <c r="G42" s="7" t="inlineStr">
        <is>
          <t>SAD</t>
        </is>
      </c>
      <c r="H42" s="5" t="n">
        <v>133</v>
      </c>
      <c r="I42" s="6">
        <f>133/446</f>
        <v/>
      </c>
      <c r="J42" s="7" t="inlineStr">
        <is>
          <t>AAP</t>
        </is>
      </c>
      <c r="K42" s="5" t="n">
        <v>-26</v>
      </c>
      <c r="L42" s="8">
        <f>I42-F42</f>
        <v/>
      </c>
      <c r="M42" s="5" t="n">
        <v>48</v>
      </c>
      <c r="N42" s="5" t="n">
        <v>446</v>
      </c>
    </row>
    <row r="43" ht="20" customHeight="1">
      <c r="A43" s="9" t="n">
        <v>42</v>
      </c>
      <c r="B43" s="10" t="inlineStr">
        <is>
          <t>Dhariwal</t>
        </is>
      </c>
      <c r="C43" s="10" t="inlineStr">
        <is>
          <t>ਧਾਰੀਵਾਲ</t>
        </is>
      </c>
      <c r="D43" s="4" t="inlineStr">
        <is>
          <t>Gained in 2024 (New Win)</t>
        </is>
      </c>
      <c r="E43" s="12" t="n">
        <v>240</v>
      </c>
      <c r="F43" s="13">
        <f>240/784</f>
        <v/>
      </c>
      <c r="G43" s="14" t="inlineStr">
        <is>
          <t>SAD</t>
        </is>
      </c>
      <c r="H43" s="12" t="n">
        <v>283</v>
      </c>
      <c r="I43" s="13">
        <f>283/716</f>
        <v/>
      </c>
      <c r="J43" s="14" t="inlineStr">
        <is>
          <t>INC</t>
        </is>
      </c>
      <c r="K43" s="12" t="n">
        <v>43</v>
      </c>
      <c r="L43" s="15">
        <f>I43-F43</f>
        <v/>
      </c>
      <c r="M43" s="12" t="n">
        <v>59</v>
      </c>
      <c r="N43" s="12" t="n">
        <v>716</v>
      </c>
    </row>
    <row r="44" ht="20" customHeight="1">
      <c r="A44" s="2" t="n">
        <v>43</v>
      </c>
      <c r="B44" s="3" t="inlineStr">
        <is>
          <t>Dhariwal</t>
        </is>
      </c>
      <c r="C44" s="3" t="inlineStr">
        <is>
          <t>ਧਾਰੀਵਾਲ</t>
        </is>
      </c>
      <c r="D44" s="16" t="inlineStr">
        <is>
          <t>Lost Both Times (Deficit)</t>
        </is>
      </c>
      <c r="E44" s="5" t="n">
        <v>180</v>
      </c>
      <c r="F44" s="6">
        <f>180/600</f>
        <v/>
      </c>
      <c r="G44" s="7" t="inlineStr">
        <is>
          <t>AAP</t>
        </is>
      </c>
      <c r="H44" s="5" t="n">
        <v>149</v>
      </c>
      <c r="I44" s="6">
        <f>149/550</f>
        <v/>
      </c>
      <c r="J44" s="7" t="inlineStr">
        <is>
          <t>BJP</t>
        </is>
      </c>
      <c r="K44" s="5" t="n">
        <v>-31</v>
      </c>
      <c r="L44" s="8">
        <f>I44-F44</f>
        <v/>
      </c>
      <c r="M44" s="5" t="n">
        <v>80</v>
      </c>
      <c r="N44" s="5" t="n">
        <v>550</v>
      </c>
    </row>
    <row r="45" ht="20" customHeight="1">
      <c r="A45" s="9" t="n">
        <v>44</v>
      </c>
      <c r="B45" s="10" t="inlineStr">
        <is>
          <t>Dhariwal</t>
        </is>
      </c>
      <c r="C45" s="10" t="inlineStr">
        <is>
          <t>ਧਾਰੀਵਾਲ</t>
        </is>
      </c>
      <c r="D45" s="17" t="inlineStr">
        <is>
          <t>Weak Booth (&lt; 20% Share)</t>
        </is>
      </c>
      <c r="E45" s="12" t="n">
        <v>110</v>
      </c>
      <c r="F45" s="13">
        <f>110/436</f>
        <v/>
      </c>
      <c r="G45" s="14" t="inlineStr">
        <is>
          <t>AAP</t>
        </is>
      </c>
      <c r="H45" s="12" t="n">
        <v>80</v>
      </c>
      <c r="I45" s="13">
        <f>80/424</f>
        <v/>
      </c>
      <c r="J45" s="14" t="inlineStr">
        <is>
          <t>BJP</t>
        </is>
      </c>
      <c r="K45" s="12" t="n">
        <v>-30</v>
      </c>
      <c r="L45" s="15">
        <f>I45-F45</f>
        <v/>
      </c>
      <c r="M45" s="12" t="n">
        <v>165</v>
      </c>
      <c r="N45" s="12" t="n">
        <v>424</v>
      </c>
    </row>
    <row r="46" ht="20" customHeight="1">
      <c r="A46" s="2" t="n">
        <v>45</v>
      </c>
      <c r="B46" s="3" t="inlineStr">
        <is>
          <t>Dhariwal</t>
        </is>
      </c>
      <c r="C46" s="3" t="inlineStr">
        <is>
          <t>ਧਾਰੀਵਾਲ</t>
        </is>
      </c>
      <c r="D46" s="16" t="inlineStr">
        <is>
          <t>Lost Both Times (Deficit)</t>
        </is>
      </c>
      <c r="E46" s="5" t="n">
        <v>220</v>
      </c>
      <c r="F46" s="6">
        <f>220/745</f>
        <v/>
      </c>
      <c r="G46" s="7" t="inlineStr">
        <is>
          <t>AAP</t>
        </is>
      </c>
      <c r="H46" s="5" t="n">
        <v>175</v>
      </c>
      <c r="I46" s="6">
        <f>175/770</f>
        <v/>
      </c>
      <c r="J46" s="7" t="inlineStr">
        <is>
          <t>BJP</t>
        </is>
      </c>
      <c r="K46" s="5" t="n">
        <v>-45</v>
      </c>
      <c r="L46" s="8">
        <f>I46-F46</f>
        <v/>
      </c>
      <c r="M46" s="5" t="n">
        <v>159</v>
      </c>
      <c r="N46" s="5" t="n">
        <v>770</v>
      </c>
    </row>
    <row r="47" ht="20" customHeight="1">
      <c r="A47" s="9" t="n">
        <v>46</v>
      </c>
      <c r="B47" s="10" t="inlineStr">
        <is>
          <t>Dhariwal</t>
        </is>
      </c>
      <c r="C47" s="10" t="inlineStr">
        <is>
          <t>ਧਾਰੀਵਾਲ</t>
        </is>
      </c>
      <c r="D47" s="16" t="inlineStr">
        <is>
          <t>Lost Both Times (Deficit)</t>
        </is>
      </c>
      <c r="E47" s="12" t="n">
        <v>73</v>
      </c>
      <c r="F47" s="13">
        <f>73/535</f>
        <v/>
      </c>
      <c r="G47" s="14" t="inlineStr">
        <is>
          <t>SAD</t>
        </is>
      </c>
      <c r="H47" s="12" t="n">
        <v>117</v>
      </c>
      <c r="I47" s="13">
        <f>117/472</f>
        <v/>
      </c>
      <c r="J47" s="14" t="inlineStr">
        <is>
          <t>AAP</t>
        </is>
      </c>
      <c r="K47" s="12" t="n">
        <v>44</v>
      </c>
      <c r="L47" s="15">
        <f>I47-F47</f>
        <v/>
      </c>
      <c r="M47" s="12" t="n">
        <v>77</v>
      </c>
      <c r="N47" s="12" t="n">
        <v>472</v>
      </c>
    </row>
    <row r="48" ht="20" customHeight="1">
      <c r="A48" s="2" t="n">
        <v>47</v>
      </c>
      <c r="B48" s="3" t="inlineStr">
        <is>
          <t>Dhariwal</t>
        </is>
      </c>
      <c r="C48" s="3" t="inlineStr">
        <is>
          <t>ਧਾਰੀਵਾਲ</t>
        </is>
      </c>
      <c r="D48" s="4" t="inlineStr">
        <is>
          <t>Gained in 2024 (New Win)</t>
        </is>
      </c>
      <c r="E48" s="5" t="n">
        <v>240</v>
      </c>
      <c r="F48" s="6">
        <f>240/743</f>
        <v/>
      </c>
      <c r="G48" s="7" t="inlineStr">
        <is>
          <t>AAP</t>
        </is>
      </c>
      <c r="H48" s="5" t="n">
        <v>238</v>
      </c>
      <c r="I48" s="6">
        <f>238/754</f>
        <v/>
      </c>
      <c r="J48" s="7" t="inlineStr">
        <is>
          <t>INC</t>
        </is>
      </c>
      <c r="K48" s="5" t="n">
        <v>-2</v>
      </c>
      <c r="L48" s="8">
        <f>I48-F48</f>
        <v/>
      </c>
      <c r="M48" s="5" t="n">
        <v>36</v>
      </c>
      <c r="N48" s="5" t="n">
        <v>754</v>
      </c>
    </row>
    <row r="49" ht="20" customHeight="1">
      <c r="A49" s="9" t="n">
        <v>48</v>
      </c>
      <c r="B49" s="10" t="inlineStr">
        <is>
          <t>Daddwan</t>
        </is>
      </c>
      <c r="C49" s="10" t="inlineStr">
        <is>
          <t>ਡੱਡਵਾਂ</t>
        </is>
      </c>
      <c r="D49" s="18" t="inlineStr">
        <is>
          <t>Lost in 2024 (to AAP)</t>
        </is>
      </c>
      <c r="E49" s="12" t="n">
        <v>414</v>
      </c>
      <c r="F49" s="13">
        <f>414/807</f>
        <v/>
      </c>
      <c r="G49" s="14" t="inlineStr">
        <is>
          <t>INC</t>
        </is>
      </c>
      <c r="H49" s="12" t="n">
        <v>249</v>
      </c>
      <c r="I49" s="13">
        <f>249/690</f>
        <v/>
      </c>
      <c r="J49" s="14" t="inlineStr">
        <is>
          <t>AAP</t>
        </is>
      </c>
      <c r="K49" s="12" t="n">
        <v>-165</v>
      </c>
      <c r="L49" s="15">
        <f>I49-F49</f>
        <v/>
      </c>
      <c r="M49" s="12" t="n">
        <v>56</v>
      </c>
      <c r="N49" s="12" t="n">
        <v>690</v>
      </c>
    </row>
    <row r="50" ht="20" customHeight="1">
      <c r="A50" s="2" t="n">
        <v>49</v>
      </c>
      <c r="B50" s="3" t="inlineStr">
        <is>
          <t>Daddwan</t>
        </is>
      </c>
      <c r="C50" s="3" t="inlineStr">
        <is>
          <t>ਡੱਡਵਾਂ</t>
        </is>
      </c>
      <c r="D50" s="11" t="inlineStr">
        <is>
          <t>Won Both Times (Stronghold)</t>
        </is>
      </c>
      <c r="E50" s="5" t="n">
        <v>367</v>
      </c>
      <c r="F50" s="6">
        <f>367/761</f>
        <v/>
      </c>
      <c r="G50" s="7" t="inlineStr">
        <is>
          <t>INC</t>
        </is>
      </c>
      <c r="H50" s="5" t="n">
        <v>236</v>
      </c>
      <c r="I50" s="6">
        <f>236/645</f>
        <v/>
      </c>
      <c r="J50" s="7" t="inlineStr">
        <is>
          <t>INC</t>
        </is>
      </c>
      <c r="K50" s="5" t="n">
        <v>-131</v>
      </c>
      <c r="L50" s="8">
        <f>I50-F50</f>
        <v/>
      </c>
      <c r="M50" s="5" t="n">
        <v>7</v>
      </c>
      <c r="N50" s="5" t="n">
        <v>645</v>
      </c>
    </row>
    <row r="51" ht="20" customHeight="1">
      <c r="A51" s="9" t="n">
        <v>50</v>
      </c>
      <c r="B51" s="10" t="inlineStr">
        <is>
          <t>Kang</t>
        </is>
      </c>
      <c r="C51" s="10" t="inlineStr">
        <is>
          <t>ਕੰਗ</t>
        </is>
      </c>
      <c r="D51" s="18" t="inlineStr">
        <is>
          <t>Lost in 2024 (to AAP)</t>
        </is>
      </c>
      <c r="E51" s="12" t="n">
        <v>337</v>
      </c>
      <c r="F51" s="13">
        <f>337/656</f>
        <v/>
      </c>
      <c r="G51" s="14" t="inlineStr">
        <is>
          <t>INC</t>
        </is>
      </c>
      <c r="H51" s="12" t="n">
        <v>158</v>
      </c>
      <c r="I51" s="13">
        <f>158/608</f>
        <v/>
      </c>
      <c r="J51" s="14" t="inlineStr">
        <is>
          <t>AAP</t>
        </is>
      </c>
      <c r="K51" s="12" t="n">
        <v>-179</v>
      </c>
      <c r="L51" s="15">
        <f>I51-F51</f>
        <v/>
      </c>
      <c r="M51" s="12" t="n">
        <v>139</v>
      </c>
      <c r="N51" s="12" t="n">
        <v>608</v>
      </c>
    </row>
    <row r="52" ht="20" customHeight="1">
      <c r="A52" s="2" t="n">
        <v>51</v>
      </c>
      <c r="B52" s="3" t="inlineStr">
        <is>
          <t>Kang</t>
        </is>
      </c>
      <c r="C52" s="3" t="inlineStr">
        <is>
          <t>ਕੰਗ</t>
        </is>
      </c>
      <c r="D52" s="18" t="inlineStr">
        <is>
          <t>Lost in 2024 (to AAP)</t>
        </is>
      </c>
      <c r="E52" s="5" t="n">
        <v>324</v>
      </c>
      <c r="F52" s="6">
        <f>324/586</f>
        <v/>
      </c>
      <c r="G52" s="7" t="inlineStr">
        <is>
          <t>INC</t>
        </is>
      </c>
      <c r="H52" s="5" t="n">
        <v>158</v>
      </c>
      <c r="I52" s="6">
        <f>158/560</f>
        <v/>
      </c>
      <c r="J52" s="7" t="inlineStr">
        <is>
          <t>AAP</t>
        </is>
      </c>
      <c r="K52" s="5" t="n">
        <v>-166</v>
      </c>
      <c r="L52" s="8">
        <f>I52-F52</f>
        <v/>
      </c>
      <c r="M52" s="5" t="n">
        <v>112</v>
      </c>
      <c r="N52" s="5" t="n">
        <v>560</v>
      </c>
    </row>
    <row r="53" ht="20" customHeight="1">
      <c r="A53" s="9" t="n">
        <v>52</v>
      </c>
      <c r="B53" s="10" t="inlineStr">
        <is>
          <t>Ahmedabad</t>
        </is>
      </c>
      <c r="C53" s="10" t="inlineStr">
        <is>
          <t>ਅਹਿਮਦਾਬਾਦ</t>
        </is>
      </c>
      <c r="D53" s="16" t="inlineStr">
        <is>
          <t>Lost Both Times (Deficit)</t>
        </is>
      </c>
      <c r="E53" s="12" t="n">
        <v>150</v>
      </c>
      <c r="F53" s="13">
        <f>150/774</f>
        <v/>
      </c>
      <c r="G53" s="14" t="inlineStr">
        <is>
          <t>AAP</t>
        </is>
      </c>
      <c r="H53" s="12" t="n">
        <v>167</v>
      </c>
      <c r="I53" s="13">
        <f>167/745</f>
        <v/>
      </c>
      <c r="J53" s="14" t="inlineStr">
        <is>
          <t>SAD</t>
        </is>
      </c>
      <c r="K53" s="12" t="n">
        <v>17</v>
      </c>
      <c r="L53" s="15">
        <f>I53-F53</f>
        <v/>
      </c>
      <c r="M53" s="12" t="n">
        <v>29</v>
      </c>
      <c r="N53" s="12" t="n">
        <v>745</v>
      </c>
    </row>
    <row r="54" ht="20" customHeight="1">
      <c r="A54" s="2" t="n">
        <v>53</v>
      </c>
      <c r="B54" s="3" t="inlineStr">
        <is>
          <t>Fateh Nangal</t>
        </is>
      </c>
      <c r="C54" s="3" t="inlineStr">
        <is>
          <t>ਫਤਿਹ ਨੰਗਲ</t>
        </is>
      </c>
      <c r="D54" s="18" t="inlineStr">
        <is>
          <t>Lost in 2024 (to AAP)</t>
        </is>
      </c>
      <c r="E54" s="5" t="n">
        <v>350</v>
      </c>
      <c r="F54" s="6">
        <f>350/801</f>
        <v/>
      </c>
      <c r="G54" s="7" t="inlineStr">
        <is>
          <t>INC</t>
        </is>
      </c>
      <c r="H54" s="5" t="n">
        <v>308</v>
      </c>
      <c r="I54" s="6">
        <f>308/732</f>
        <v/>
      </c>
      <c r="J54" s="7" t="inlineStr">
        <is>
          <t>AAP</t>
        </is>
      </c>
      <c r="K54" s="5" t="n">
        <v>-42</v>
      </c>
      <c r="L54" s="8">
        <f>I54-F54</f>
        <v/>
      </c>
      <c r="M54" s="5" t="n">
        <v>17</v>
      </c>
      <c r="N54" s="5" t="n">
        <v>732</v>
      </c>
    </row>
    <row r="55" ht="20" customHeight="1">
      <c r="A55" s="9" t="n">
        <v>54</v>
      </c>
      <c r="B55" s="10" t="inlineStr">
        <is>
          <t>Fateh Nangal</t>
        </is>
      </c>
      <c r="C55" s="10" t="inlineStr">
        <is>
          <t>ਫਤਿਹ ਨੰਗਲ</t>
        </is>
      </c>
      <c r="D55" s="18" t="inlineStr">
        <is>
          <t>Lost in 2024 (to AAP)</t>
        </is>
      </c>
      <c r="E55" s="12" t="n">
        <v>327</v>
      </c>
      <c r="F55" s="13">
        <f>327/857</f>
        <v/>
      </c>
      <c r="G55" s="14" t="inlineStr">
        <is>
          <t>INC</t>
        </is>
      </c>
      <c r="H55" s="12" t="n">
        <v>233</v>
      </c>
      <c r="I55" s="13">
        <f>233/713</f>
        <v/>
      </c>
      <c r="J55" s="14" t="inlineStr">
        <is>
          <t>AAP</t>
        </is>
      </c>
      <c r="K55" s="12" t="n">
        <v>-94</v>
      </c>
      <c r="L55" s="15">
        <f>I55-F55</f>
        <v/>
      </c>
      <c r="M55" s="12" t="n">
        <v>66</v>
      </c>
      <c r="N55" s="12" t="n">
        <v>713</v>
      </c>
    </row>
    <row r="56" ht="20" customHeight="1">
      <c r="A56" s="2" t="n">
        <v>55</v>
      </c>
      <c r="B56" s="3" t="inlineStr">
        <is>
          <t>Fajju Pura</t>
        </is>
      </c>
      <c r="C56" s="3" t="inlineStr">
        <is>
          <t>ਫੱਜੂਪੁਰਾ</t>
        </is>
      </c>
      <c r="D56" s="4" t="inlineStr">
        <is>
          <t>Gained in 2024 (New Win)</t>
        </is>
      </c>
      <c r="E56" s="5" t="n">
        <v>219</v>
      </c>
      <c r="F56" s="6">
        <f>219/729</f>
        <v/>
      </c>
      <c r="G56" s="7" t="inlineStr">
        <is>
          <t>AAP</t>
        </is>
      </c>
      <c r="H56" s="5" t="n">
        <v>242</v>
      </c>
      <c r="I56" s="6">
        <f>242/663</f>
        <v/>
      </c>
      <c r="J56" s="7" t="inlineStr">
        <is>
          <t>INC</t>
        </is>
      </c>
      <c r="K56" s="5" t="n">
        <v>23</v>
      </c>
      <c r="L56" s="8">
        <f>I56-F56</f>
        <v/>
      </c>
      <c r="M56" s="5" t="n">
        <v>42</v>
      </c>
      <c r="N56" s="5" t="n">
        <v>663</v>
      </c>
    </row>
    <row r="57" ht="20" customHeight="1">
      <c r="A57" s="9" t="n">
        <v>56</v>
      </c>
      <c r="B57" s="10" t="inlineStr">
        <is>
          <t>Fajju Pura</t>
        </is>
      </c>
      <c r="C57" s="10" t="inlineStr">
        <is>
          <t>ਫੱਜੂਪੁਰਾ</t>
        </is>
      </c>
      <c r="D57" s="4" t="inlineStr">
        <is>
          <t>Gained in 2024 (New Win)</t>
        </is>
      </c>
      <c r="E57" s="12" t="n">
        <v>211</v>
      </c>
      <c r="F57" s="13">
        <f>211/538</f>
        <v/>
      </c>
      <c r="G57" s="14" t="inlineStr">
        <is>
          <t>SAD</t>
        </is>
      </c>
      <c r="H57" s="12" t="n">
        <v>249</v>
      </c>
      <c r="I57" s="13">
        <f>249/501</f>
        <v/>
      </c>
      <c r="J57" s="14" t="inlineStr">
        <is>
          <t>INC</t>
        </is>
      </c>
      <c r="K57" s="12" t="n">
        <v>38</v>
      </c>
      <c r="L57" s="15">
        <f>I57-F57</f>
        <v/>
      </c>
      <c r="M57" s="12" t="n">
        <v>95</v>
      </c>
      <c r="N57" s="12" t="n">
        <v>501</v>
      </c>
    </row>
    <row r="58" ht="20" customHeight="1">
      <c r="A58" s="2" t="n">
        <v>57</v>
      </c>
      <c r="B58" s="3" t="inlineStr">
        <is>
          <t>Fajju Pura</t>
        </is>
      </c>
      <c r="C58" s="3" t="inlineStr">
        <is>
          <t>ਫੱਜੂਪੁਰਾ</t>
        </is>
      </c>
      <c r="D58" s="11" t="inlineStr">
        <is>
          <t>Won Both Times (Stronghold)</t>
        </is>
      </c>
      <c r="E58" s="5" t="n">
        <v>171</v>
      </c>
      <c r="F58" s="6">
        <f>171/449</f>
        <v/>
      </c>
      <c r="G58" s="7" t="inlineStr">
        <is>
          <t>INC</t>
        </is>
      </c>
      <c r="H58" s="5" t="n">
        <v>219</v>
      </c>
      <c r="I58" s="6">
        <f>219/415</f>
        <v/>
      </c>
      <c r="J58" s="7" t="inlineStr">
        <is>
          <t>INC</t>
        </is>
      </c>
      <c r="K58" s="5" t="n">
        <v>48</v>
      </c>
      <c r="L58" s="8">
        <f>I58-F58</f>
        <v/>
      </c>
      <c r="M58" s="5" t="n">
        <v>110</v>
      </c>
      <c r="N58" s="5" t="n">
        <v>415</v>
      </c>
    </row>
    <row r="59" ht="20" customHeight="1">
      <c r="A59" s="9" t="n">
        <v>58</v>
      </c>
      <c r="B59" s="10" t="inlineStr">
        <is>
          <t>Sujanpur, Maali Samrai</t>
        </is>
      </c>
      <c r="C59" s="10" t="inlineStr">
        <is>
          <t>ਸੁਜਾਨਪੁਰ, ਮਾਲੀ ਸਮਰਾਏ</t>
        </is>
      </c>
      <c r="D59" s="18" t="inlineStr">
        <is>
          <t>Lost in 2024 (to AAP)</t>
        </is>
      </c>
      <c r="E59" s="12" t="n">
        <v>301</v>
      </c>
      <c r="F59" s="13">
        <f>301/694</f>
        <v/>
      </c>
      <c r="G59" s="14" t="inlineStr">
        <is>
          <t>INC</t>
        </is>
      </c>
      <c r="H59" s="12" t="n">
        <v>193</v>
      </c>
      <c r="I59" s="13">
        <f>193/638</f>
        <v/>
      </c>
      <c r="J59" s="14" t="inlineStr">
        <is>
          <t>AAP</t>
        </is>
      </c>
      <c r="K59" s="12" t="n">
        <v>-108</v>
      </c>
      <c r="L59" s="15">
        <f>I59-F59</f>
        <v/>
      </c>
      <c r="M59" s="12" t="n">
        <v>4</v>
      </c>
      <c r="N59" s="12" t="n">
        <v>638</v>
      </c>
    </row>
    <row r="60" ht="20" customHeight="1">
      <c r="A60" s="2" t="n">
        <v>59</v>
      </c>
      <c r="B60" s="3" t="inlineStr">
        <is>
          <t>Khunda</t>
        </is>
      </c>
      <c r="C60" s="3" t="inlineStr">
        <is>
          <t>ਖੁੰਡਾ</t>
        </is>
      </c>
      <c r="D60" s="16" t="inlineStr">
        <is>
          <t>Lost Both Times (Deficit)</t>
        </is>
      </c>
      <c r="E60" s="5" t="n">
        <v>226</v>
      </c>
      <c r="F60" s="6">
        <f>226/751</f>
        <v/>
      </c>
      <c r="G60" s="7" t="inlineStr">
        <is>
          <t>SAD</t>
        </is>
      </c>
      <c r="H60" s="5" t="n">
        <v>266</v>
      </c>
      <c r="I60" s="6">
        <f>266/682</f>
        <v/>
      </c>
      <c r="J60" s="7" t="inlineStr">
        <is>
          <t>AAP</t>
        </is>
      </c>
      <c r="K60" s="5" t="n">
        <v>40</v>
      </c>
      <c r="L60" s="8">
        <f>I60-F60</f>
        <v/>
      </c>
      <c r="M60" s="5" t="n">
        <v>24</v>
      </c>
      <c r="N60" s="5" t="n">
        <v>682</v>
      </c>
    </row>
    <row r="61" ht="20" customHeight="1">
      <c r="A61" s="9" t="n">
        <v>60</v>
      </c>
      <c r="B61" s="10" t="inlineStr">
        <is>
          <t>Khunda</t>
        </is>
      </c>
      <c r="C61" s="10" t="inlineStr">
        <is>
          <t>ਖੁੰਡਾ</t>
        </is>
      </c>
      <c r="D61" s="16" t="inlineStr">
        <is>
          <t>Lost Both Times (Deficit)</t>
        </is>
      </c>
      <c r="E61" s="12" t="n">
        <v>147</v>
      </c>
      <c r="F61" s="13">
        <f>147/703</f>
        <v/>
      </c>
      <c r="G61" s="14" t="inlineStr">
        <is>
          <t>SAD</t>
        </is>
      </c>
      <c r="H61" s="12" t="n">
        <v>215</v>
      </c>
      <c r="I61" s="13">
        <f>215/602</f>
        <v/>
      </c>
      <c r="J61" s="14" t="inlineStr">
        <is>
          <t>AAP</t>
        </is>
      </c>
      <c r="K61" s="12" t="n">
        <v>68</v>
      </c>
      <c r="L61" s="15">
        <f>I61-F61</f>
        <v/>
      </c>
      <c r="M61" s="12" t="n">
        <v>72</v>
      </c>
      <c r="N61" s="12" t="n">
        <v>602</v>
      </c>
    </row>
    <row r="62" ht="20" customHeight="1">
      <c r="A62" s="2" t="n">
        <v>61</v>
      </c>
      <c r="B62" s="3" t="inlineStr">
        <is>
          <t>Khundi</t>
        </is>
      </c>
      <c r="C62" s="3" t="inlineStr">
        <is>
          <t>ਖੁੰਡੀ</t>
        </is>
      </c>
      <c r="D62" s="16" t="inlineStr">
        <is>
          <t>Lost Both Times (Deficit)</t>
        </is>
      </c>
      <c r="E62" s="5" t="n">
        <v>225</v>
      </c>
      <c r="F62" s="6">
        <f>225/692</f>
        <v/>
      </c>
      <c r="G62" s="7" t="inlineStr">
        <is>
          <t>SAD</t>
        </is>
      </c>
      <c r="H62" s="5" t="n">
        <v>191</v>
      </c>
      <c r="I62" s="6">
        <f>191/663</f>
        <v/>
      </c>
      <c r="J62" s="7" t="inlineStr">
        <is>
          <t>AAP</t>
        </is>
      </c>
      <c r="K62" s="5" t="n">
        <v>-34</v>
      </c>
      <c r="L62" s="8">
        <f>I62-F62</f>
        <v/>
      </c>
      <c r="M62" s="5" t="n">
        <v>174</v>
      </c>
      <c r="N62" s="5" t="n">
        <v>663</v>
      </c>
    </row>
    <row r="63" ht="20" customHeight="1">
      <c r="A63" s="9" t="n">
        <v>62</v>
      </c>
      <c r="B63" s="10" t="inlineStr">
        <is>
          <t>Lehal</t>
        </is>
      </c>
      <c r="C63" s="10" t="inlineStr">
        <is>
          <t>ਲੇਹਲ</t>
        </is>
      </c>
      <c r="D63" s="16" t="inlineStr">
        <is>
          <t>Lost Both Times (Deficit)</t>
        </is>
      </c>
      <c r="E63" s="12" t="n">
        <v>170</v>
      </c>
      <c r="F63" s="13">
        <f>170/561</f>
        <v/>
      </c>
      <c r="G63" s="14" t="inlineStr">
        <is>
          <t>SAD</t>
        </is>
      </c>
      <c r="H63" s="12" t="n">
        <v>171</v>
      </c>
      <c r="I63" s="13">
        <f>171/483</f>
        <v/>
      </c>
      <c r="J63" s="14" t="inlineStr">
        <is>
          <t>AAP</t>
        </is>
      </c>
      <c r="K63" s="12" t="n">
        <v>1</v>
      </c>
      <c r="L63" s="15">
        <f>I63-F63</f>
        <v/>
      </c>
      <c r="M63" s="12" t="n">
        <v>24</v>
      </c>
      <c r="N63" s="12" t="n">
        <v>483</v>
      </c>
    </row>
    <row r="64" ht="20" customHeight="1">
      <c r="A64" s="2" t="n">
        <v>63</v>
      </c>
      <c r="B64" s="3" t="inlineStr">
        <is>
          <t>Lehal</t>
        </is>
      </c>
      <c r="C64" s="3" t="inlineStr">
        <is>
          <t>ਲੇਹਲ</t>
        </is>
      </c>
      <c r="D64" s="11" t="inlineStr">
        <is>
          <t>Won Both Times (Stronghold)</t>
        </is>
      </c>
      <c r="E64" s="5" t="n">
        <v>279</v>
      </c>
      <c r="F64" s="6">
        <f>279/642</f>
        <v/>
      </c>
      <c r="G64" s="7" t="inlineStr">
        <is>
          <t>INC</t>
        </is>
      </c>
      <c r="H64" s="5" t="n">
        <v>263</v>
      </c>
      <c r="I64" s="6">
        <f>263/604</f>
        <v/>
      </c>
      <c r="J64" s="7" t="inlineStr">
        <is>
          <t>INC</t>
        </is>
      </c>
      <c r="K64" s="5" t="n">
        <v>-16</v>
      </c>
      <c r="L64" s="8">
        <f>I64-F64</f>
        <v/>
      </c>
      <c r="M64" s="5" t="n">
        <v>28</v>
      </c>
      <c r="N64" s="5" t="n">
        <v>604</v>
      </c>
    </row>
    <row r="65" ht="20" customHeight="1">
      <c r="A65" s="9" t="n">
        <v>64</v>
      </c>
      <c r="B65" s="10" t="inlineStr">
        <is>
          <t>Lehal</t>
        </is>
      </c>
      <c r="C65" s="10" t="inlineStr">
        <is>
          <t>ਲੇਹਲ</t>
        </is>
      </c>
      <c r="D65" s="18" t="inlineStr">
        <is>
          <t>Lost in 2024 (to AAP)</t>
        </is>
      </c>
      <c r="E65" s="12" t="n">
        <v>262</v>
      </c>
      <c r="F65" s="13">
        <f>262/717</f>
        <v/>
      </c>
      <c r="G65" s="14" t="inlineStr">
        <is>
          <t>INC</t>
        </is>
      </c>
      <c r="H65" s="12" t="n">
        <v>220</v>
      </c>
      <c r="I65" s="13">
        <f>220/621</f>
        <v/>
      </c>
      <c r="J65" s="14" t="inlineStr">
        <is>
          <t>AAP</t>
        </is>
      </c>
      <c r="K65" s="12" t="n">
        <v>-42</v>
      </c>
      <c r="L65" s="15">
        <f>I65-F65</f>
        <v/>
      </c>
      <c r="M65" s="12" t="n">
        <v>27</v>
      </c>
      <c r="N65" s="12" t="n">
        <v>621</v>
      </c>
    </row>
    <row r="66" ht="20" customHeight="1">
      <c r="A66" s="2" t="n">
        <v>65</v>
      </c>
      <c r="B66" s="3" t="inlineStr">
        <is>
          <t>Badoye</t>
        </is>
      </c>
      <c r="C66" s="3" t="inlineStr">
        <is>
          <t>ਬੜੋਏ</t>
        </is>
      </c>
      <c r="D66" s="16" t="inlineStr">
        <is>
          <t>Lost Both Times (Deficit)</t>
        </is>
      </c>
      <c r="E66" s="5" t="n">
        <v>139</v>
      </c>
      <c r="F66" s="6">
        <f>139/442</f>
        <v/>
      </c>
      <c r="G66" s="7" t="inlineStr">
        <is>
          <t>SAD</t>
        </is>
      </c>
      <c r="H66" s="5" t="n">
        <v>111</v>
      </c>
      <c r="I66" s="6">
        <f>111/406</f>
        <v/>
      </c>
      <c r="J66" s="7" t="inlineStr">
        <is>
          <t>AAP</t>
        </is>
      </c>
      <c r="K66" s="5" t="n">
        <v>-28</v>
      </c>
      <c r="L66" s="8">
        <f>I66-F66</f>
        <v/>
      </c>
      <c r="M66" s="5" t="n">
        <v>79</v>
      </c>
      <c r="N66" s="5" t="n">
        <v>406</v>
      </c>
    </row>
    <row r="67" ht="20" customHeight="1">
      <c r="A67" s="9" t="n">
        <v>66</v>
      </c>
      <c r="B67" s="10" t="inlineStr">
        <is>
          <t>Jafarwal</t>
        </is>
      </c>
      <c r="C67" s="10" t="inlineStr">
        <is>
          <t>ਜਫਰਵਾਲ</t>
        </is>
      </c>
      <c r="D67" s="16" t="inlineStr">
        <is>
          <t>Lost Both Times (Deficit)</t>
        </is>
      </c>
      <c r="E67" s="12" t="n">
        <v>156</v>
      </c>
      <c r="F67" s="13">
        <f>156/730</f>
        <v/>
      </c>
      <c r="G67" s="14" t="inlineStr">
        <is>
          <t>SAD</t>
        </is>
      </c>
      <c r="H67" s="12" t="n">
        <v>164</v>
      </c>
      <c r="I67" s="13">
        <f>164/620</f>
        <v/>
      </c>
      <c r="J67" s="14" t="inlineStr">
        <is>
          <t>AAP</t>
        </is>
      </c>
      <c r="K67" s="12" t="n">
        <v>8</v>
      </c>
      <c r="L67" s="15">
        <f>I67-F67</f>
        <v/>
      </c>
      <c r="M67" s="12" t="n">
        <v>97</v>
      </c>
      <c r="N67" s="12" t="n">
        <v>620</v>
      </c>
    </row>
    <row r="68" ht="20" customHeight="1">
      <c r="A68" s="2" t="n">
        <v>67</v>
      </c>
      <c r="B68" s="3" t="inlineStr">
        <is>
          <t>Jafarwal</t>
        </is>
      </c>
      <c r="C68" s="3" t="inlineStr">
        <is>
          <t>ਜਫਰਵਾਲ</t>
        </is>
      </c>
      <c r="D68" s="18" t="inlineStr">
        <is>
          <t>Lost in 2024 (to AAP)</t>
        </is>
      </c>
      <c r="E68" s="5" t="n">
        <v>314</v>
      </c>
      <c r="F68" s="6">
        <f>314/679</f>
        <v/>
      </c>
      <c r="G68" s="7" t="inlineStr">
        <is>
          <t>INC</t>
        </is>
      </c>
      <c r="H68" s="5" t="n">
        <v>196</v>
      </c>
      <c r="I68" s="6">
        <f>196/573</f>
        <v/>
      </c>
      <c r="J68" s="7" t="inlineStr">
        <is>
          <t>AAP</t>
        </is>
      </c>
      <c r="K68" s="5" t="n">
        <v>-118</v>
      </c>
      <c r="L68" s="8">
        <f>I68-F68</f>
        <v/>
      </c>
      <c r="M68" s="5" t="n">
        <v>16</v>
      </c>
      <c r="N68" s="5" t="n">
        <v>573</v>
      </c>
    </row>
    <row r="69" ht="20" customHeight="1">
      <c r="A69" s="9" t="n">
        <v>68</v>
      </c>
      <c r="B69" s="10" t="inlineStr">
        <is>
          <t>Jafarwal</t>
        </is>
      </c>
      <c r="C69" s="10" t="inlineStr">
        <is>
          <t>ਜਫਰਵਾਲ</t>
        </is>
      </c>
      <c r="D69" s="4" t="inlineStr">
        <is>
          <t>Gained in 2024 (New Win)</t>
        </is>
      </c>
      <c r="E69" s="12" t="n">
        <v>231</v>
      </c>
      <c r="F69" s="13">
        <f>231/790</f>
        <v/>
      </c>
      <c r="G69" s="14" t="inlineStr">
        <is>
          <t>SAD</t>
        </is>
      </c>
      <c r="H69" s="12" t="n">
        <v>216</v>
      </c>
      <c r="I69" s="13">
        <f>216/570</f>
        <v/>
      </c>
      <c r="J69" s="14" t="inlineStr">
        <is>
          <t>INC</t>
        </is>
      </c>
      <c r="K69" s="12" t="n">
        <v>-15</v>
      </c>
      <c r="L69" s="15">
        <f>I69-F69</f>
        <v/>
      </c>
      <c r="M69" s="12" t="n">
        <v>60</v>
      </c>
      <c r="N69" s="12" t="n">
        <v>570</v>
      </c>
    </row>
    <row r="70" ht="20" customHeight="1">
      <c r="A70" s="2" t="n">
        <v>69</v>
      </c>
      <c r="B70" s="3" t="inlineStr">
        <is>
          <t>Sidhwan</t>
        </is>
      </c>
      <c r="C70" s="3" t="inlineStr">
        <is>
          <t>ਸਿਧਵਾਂ</t>
        </is>
      </c>
      <c r="D70" s="11" t="inlineStr">
        <is>
          <t>Won Both Times (Stronghold)</t>
        </is>
      </c>
      <c r="E70" s="5" t="n">
        <v>206</v>
      </c>
      <c r="F70" s="6">
        <f>206/514</f>
        <v/>
      </c>
      <c r="G70" s="7" t="inlineStr">
        <is>
          <t>INC</t>
        </is>
      </c>
      <c r="H70" s="5" t="n">
        <v>177</v>
      </c>
      <c r="I70" s="6">
        <f>177/483</f>
        <v/>
      </c>
      <c r="J70" s="7" t="inlineStr">
        <is>
          <t>INC</t>
        </is>
      </c>
      <c r="K70" s="5" t="n">
        <v>-29</v>
      </c>
      <c r="L70" s="8">
        <f>I70-F70</f>
        <v/>
      </c>
      <c r="M70" s="5" t="n">
        <v>37</v>
      </c>
      <c r="N70" s="5" t="n">
        <v>483</v>
      </c>
    </row>
    <row r="71" ht="20" customHeight="1">
      <c r="A71" s="9" t="n">
        <v>70</v>
      </c>
      <c r="B71" s="10" t="inlineStr">
        <is>
          <t>Mallian Fakiran</t>
        </is>
      </c>
      <c r="C71" s="10" t="inlineStr">
        <is>
          <t>ਮੱਲੀਆਂ ਫਕੀਰਾਂ</t>
        </is>
      </c>
      <c r="D71" s="11" t="inlineStr">
        <is>
          <t>Won Both Times (Stronghold)</t>
        </is>
      </c>
      <c r="E71" s="12" t="n">
        <v>238</v>
      </c>
      <c r="F71" s="13">
        <f>238/496</f>
        <v/>
      </c>
      <c r="G71" s="14" t="inlineStr">
        <is>
          <t>INC</t>
        </is>
      </c>
      <c r="H71" s="12" t="n">
        <v>165</v>
      </c>
      <c r="I71" s="13">
        <f>165/438</f>
        <v/>
      </c>
      <c r="J71" s="14" t="inlineStr">
        <is>
          <t>INC</t>
        </is>
      </c>
      <c r="K71" s="12" t="n">
        <v>-73</v>
      </c>
      <c r="L71" s="15">
        <f>I71-F71</f>
        <v/>
      </c>
      <c r="M71" s="12" t="n">
        <v>9</v>
      </c>
      <c r="N71" s="12" t="n">
        <v>438</v>
      </c>
    </row>
    <row r="72" ht="20" customHeight="1">
      <c r="A72" s="2" t="n">
        <v>71</v>
      </c>
      <c r="B72" s="3" t="inlineStr">
        <is>
          <t>Faizulla Chak</t>
        </is>
      </c>
      <c r="C72" s="3" t="inlineStr">
        <is>
          <t>ਫੈਜੁੱਲਾ ਚੱਕ</t>
        </is>
      </c>
      <c r="D72" s="11" t="inlineStr">
        <is>
          <t>Won Both Times (Stronghold)</t>
        </is>
      </c>
      <c r="E72" s="5" t="n">
        <v>276</v>
      </c>
      <c r="F72" s="6">
        <f>276/704</f>
        <v/>
      </c>
      <c r="G72" s="7" t="inlineStr">
        <is>
          <t>INC</t>
        </is>
      </c>
      <c r="H72" s="5" t="n">
        <v>260</v>
      </c>
      <c r="I72" s="6">
        <f>260/625</f>
        <v/>
      </c>
      <c r="J72" s="7" t="inlineStr">
        <is>
          <t>INC</t>
        </is>
      </c>
      <c r="K72" s="5" t="n">
        <v>-16</v>
      </c>
      <c r="L72" s="8">
        <f>I72-F72</f>
        <v/>
      </c>
      <c r="M72" s="5" t="n">
        <v>70</v>
      </c>
      <c r="N72" s="5" t="n">
        <v>625</v>
      </c>
    </row>
    <row r="73" ht="20" customHeight="1">
      <c r="A73" s="9" t="n">
        <v>72</v>
      </c>
      <c r="B73" s="10" t="inlineStr">
        <is>
          <t>Faizulla Chak</t>
        </is>
      </c>
      <c r="C73" s="10" t="inlineStr">
        <is>
          <t>ਫੈਜੁੱਲਾ ਚੱਕ</t>
        </is>
      </c>
      <c r="D73" s="18" t="inlineStr">
        <is>
          <t>Lost in 2024 (to AAP)</t>
        </is>
      </c>
      <c r="E73" s="12" t="n">
        <v>137</v>
      </c>
      <c r="F73" s="13">
        <f>137/371</f>
        <v/>
      </c>
      <c r="G73" s="14" t="inlineStr">
        <is>
          <t>INC</t>
        </is>
      </c>
      <c r="H73" s="12" t="n">
        <v>70</v>
      </c>
      <c r="I73" s="13">
        <f>70/330</f>
        <v/>
      </c>
      <c r="J73" s="14" t="inlineStr">
        <is>
          <t>AAP</t>
        </is>
      </c>
      <c r="K73" s="12" t="n">
        <v>-67</v>
      </c>
      <c r="L73" s="15">
        <f>I73-F73</f>
        <v/>
      </c>
      <c r="M73" s="12" t="n">
        <v>19</v>
      </c>
      <c r="N73" s="12" t="n">
        <v>330</v>
      </c>
    </row>
    <row r="74" ht="20" customHeight="1">
      <c r="A74" s="2" t="n">
        <v>73</v>
      </c>
      <c r="B74" s="3" t="inlineStr">
        <is>
          <t>Dehriwal Daroga</t>
        </is>
      </c>
      <c r="C74" s="3" t="inlineStr">
        <is>
          <t>ਡੇਹਰੀਵਾਲ ਦਰੋਗਾ</t>
        </is>
      </c>
      <c r="D74" s="16" t="inlineStr">
        <is>
          <t>Lost Both Times (Deficit)</t>
        </is>
      </c>
      <c r="E74" s="5" t="n">
        <v>196</v>
      </c>
      <c r="F74" s="6">
        <f>196/942</f>
        <v/>
      </c>
      <c r="G74" s="7" t="inlineStr">
        <is>
          <t>AAP</t>
        </is>
      </c>
      <c r="H74" s="5" t="n">
        <v>227</v>
      </c>
      <c r="I74" s="6">
        <f>227/791</f>
        <v/>
      </c>
      <c r="J74" s="7" t="inlineStr">
        <is>
          <t>AAP</t>
        </is>
      </c>
      <c r="K74" s="5" t="n">
        <v>31</v>
      </c>
      <c r="L74" s="8">
        <f>I74-F74</f>
        <v/>
      </c>
      <c r="M74" s="5" t="n">
        <v>133</v>
      </c>
      <c r="N74" s="5" t="n">
        <v>791</v>
      </c>
    </row>
    <row r="75" ht="20" customHeight="1">
      <c r="A75" s="9" t="n">
        <v>74</v>
      </c>
      <c r="B75" s="10" t="inlineStr">
        <is>
          <t>Dehriwal Daroga</t>
        </is>
      </c>
      <c r="C75" s="10" t="inlineStr">
        <is>
          <t>ਡੇਹਰੀਵਾਲ ਦਰੋਗਾ</t>
        </is>
      </c>
      <c r="D75" s="16" t="inlineStr">
        <is>
          <t>Lost Both Times (Deficit)</t>
        </is>
      </c>
      <c r="E75" s="12" t="n">
        <v>209</v>
      </c>
      <c r="F75" s="13">
        <f>209/871</f>
        <v/>
      </c>
      <c r="G75" s="14" t="inlineStr">
        <is>
          <t>AAP</t>
        </is>
      </c>
      <c r="H75" s="12" t="n">
        <v>223</v>
      </c>
      <c r="I75" s="13">
        <f>223/731</f>
        <v/>
      </c>
      <c r="J75" s="14" t="inlineStr">
        <is>
          <t>AAP</t>
        </is>
      </c>
      <c r="K75" s="12" t="n">
        <v>14</v>
      </c>
      <c r="L75" s="15">
        <f>I75-F75</f>
        <v/>
      </c>
      <c r="M75" s="12" t="n">
        <v>44</v>
      </c>
      <c r="N75" s="12" t="n">
        <v>731</v>
      </c>
    </row>
    <row r="76" ht="20" customHeight="1">
      <c r="A76" s="2" t="n">
        <v>75</v>
      </c>
      <c r="B76" s="3" t="inlineStr">
        <is>
          <t>Khan Mallak</t>
        </is>
      </c>
      <c r="C76" s="3" t="inlineStr">
        <is>
          <t>ਖਾਨ ਮੱਲਕ</t>
        </is>
      </c>
      <c r="D76" s="11" t="inlineStr">
        <is>
          <t>Won Both Times (Stronghold)</t>
        </is>
      </c>
      <c r="E76" s="5" t="n">
        <v>107</v>
      </c>
      <c r="F76" s="6">
        <f>107/288</f>
        <v/>
      </c>
      <c r="G76" s="7" t="inlineStr">
        <is>
          <t>INC</t>
        </is>
      </c>
      <c r="H76" s="5" t="n">
        <v>97</v>
      </c>
      <c r="I76" s="6">
        <f>97/248</f>
        <v/>
      </c>
      <c r="J76" s="7" t="inlineStr">
        <is>
          <t>INC</t>
        </is>
      </c>
      <c r="K76" s="5" t="n">
        <v>-10</v>
      </c>
      <c r="L76" s="8">
        <f>I76-F76</f>
        <v/>
      </c>
      <c r="M76" s="5" t="n">
        <v>28</v>
      </c>
      <c r="N76" s="5" t="n">
        <v>248</v>
      </c>
    </row>
    <row r="77" ht="20" customHeight="1">
      <c r="A77" s="9" t="n">
        <v>76</v>
      </c>
      <c r="B77" s="10" t="inlineStr">
        <is>
          <t>Pasnawal</t>
        </is>
      </c>
      <c r="C77" s="10" t="inlineStr">
        <is>
          <t>ਪਸਨਾਵਾਲ</t>
        </is>
      </c>
      <c r="D77" s="11" t="inlineStr">
        <is>
          <t>Won Both Times (Stronghold)</t>
        </is>
      </c>
      <c r="E77" s="12" t="n">
        <v>314</v>
      </c>
      <c r="F77" s="13">
        <f>314/806</f>
        <v/>
      </c>
      <c r="G77" s="14" t="inlineStr">
        <is>
          <t>INC</t>
        </is>
      </c>
      <c r="H77" s="12" t="n">
        <v>361</v>
      </c>
      <c r="I77" s="13">
        <f>361/752</f>
        <v/>
      </c>
      <c r="J77" s="14" t="inlineStr">
        <is>
          <t>INC</t>
        </is>
      </c>
      <c r="K77" s="12" t="n">
        <v>47</v>
      </c>
      <c r="L77" s="15">
        <f>I77-F77</f>
        <v/>
      </c>
      <c r="M77" s="12" t="n">
        <v>107</v>
      </c>
      <c r="N77" s="12" t="n">
        <v>752</v>
      </c>
    </row>
    <row r="78" ht="20" customHeight="1">
      <c r="A78" s="2" t="n">
        <v>77</v>
      </c>
      <c r="B78" s="3" t="inlineStr">
        <is>
          <t>Pasnawal</t>
        </is>
      </c>
      <c r="C78" s="3" t="inlineStr">
        <is>
          <t>ਪਸਨਾਵਾਲ</t>
        </is>
      </c>
      <c r="D78" s="16" t="inlineStr">
        <is>
          <t>Lost Both Times (Deficit)</t>
        </is>
      </c>
      <c r="E78" s="5" t="n">
        <v>85</v>
      </c>
      <c r="F78" s="6">
        <f>85/446</f>
        <v/>
      </c>
      <c r="G78" s="7" t="inlineStr">
        <is>
          <t>SAD</t>
        </is>
      </c>
      <c r="H78" s="5" t="n">
        <v>97</v>
      </c>
      <c r="I78" s="6">
        <f>97/395</f>
        <v/>
      </c>
      <c r="J78" s="7" t="inlineStr">
        <is>
          <t>AAP</t>
        </is>
      </c>
      <c r="K78" s="5" t="n">
        <v>12</v>
      </c>
      <c r="L78" s="8">
        <f>I78-F78</f>
        <v/>
      </c>
      <c r="M78" s="5" t="n">
        <v>63</v>
      </c>
      <c r="N78" s="5" t="n">
        <v>395</v>
      </c>
    </row>
    <row r="79" ht="20" customHeight="1">
      <c r="A79" s="9" t="n">
        <v>78</v>
      </c>
      <c r="B79" s="10" t="inlineStr">
        <is>
          <t>Dhariwal Kalan</t>
        </is>
      </c>
      <c r="C79" s="10" t="inlineStr">
        <is>
          <t>ਧਾਰੀਵਾਲ ਕਲਾਂ</t>
        </is>
      </c>
      <c r="D79" s="18" t="inlineStr">
        <is>
          <t>Lost in 2024 (to AAP)</t>
        </is>
      </c>
      <c r="E79" s="12" t="n">
        <v>130</v>
      </c>
      <c r="F79" s="13">
        <f>130/367</f>
        <v/>
      </c>
      <c r="G79" s="14" t="inlineStr">
        <is>
          <t>INC</t>
        </is>
      </c>
      <c r="H79" s="12" t="n">
        <v>139</v>
      </c>
      <c r="I79" s="13">
        <f>139/467</f>
        <v/>
      </c>
      <c r="J79" s="14" t="inlineStr">
        <is>
          <t>AAP</t>
        </is>
      </c>
      <c r="K79" s="12" t="n">
        <v>9</v>
      </c>
      <c r="L79" s="15">
        <f>I79-F79</f>
        <v/>
      </c>
      <c r="M79" s="12" t="n">
        <v>21</v>
      </c>
      <c r="N79" s="12" t="n">
        <v>467</v>
      </c>
    </row>
    <row r="80" ht="20" customHeight="1">
      <c r="A80" s="2" t="n">
        <v>79</v>
      </c>
      <c r="B80" s="3" t="inlineStr">
        <is>
          <t>Dhariwal Kalan</t>
        </is>
      </c>
      <c r="C80" s="3" t="inlineStr">
        <is>
          <t>ਧਾਰੀਵਾਲ ਕਲਾਂ</t>
        </is>
      </c>
      <c r="D80" s="11" t="inlineStr">
        <is>
          <t>Won Both Times (Stronghold)</t>
        </is>
      </c>
      <c r="E80" s="5" t="n">
        <v>303</v>
      </c>
      <c r="F80" s="6">
        <f>303/777</f>
        <v/>
      </c>
      <c r="G80" s="7" t="inlineStr">
        <is>
          <t>INC</t>
        </is>
      </c>
      <c r="H80" s="5" t="n">
        <v>203</v>
      </c>
      <c r="I80" s="6">
        <f>203/503</f>
        <v/>
      </c>
      <c r="J80" s="7" t="inlineStr">
        <is>
          <t>INC</t>
        </is>
      </c>
      <c r="K80" s="5" t="n">
        <v>-100</v>
      </c>
      <c r="L80" s="8">
        <f>I80-F80</f>
        <v/>
      </c>
      <c r="M80" s="5" t="n">
        <v>18</v>
      </c>
      <c r="N80" s="5" t="n">
        <v>503</v>
      </c>
    </row>
    <row r="81" ht="20" customHeight="1">
      <c r="A81" s="9" t="n">
        <v>80</v>
      </c>
      <c r="B81" s="10" t="inlineStr">
        <is>
          <t>Gill Manj</t>
        </is>
      </c>
      <c r="C81" s="10" t="inlineStr">
        <is>
          <t>ਗਿਲ ਮੰਝ</t>
        </is>
      </c>
      <c r="D81" s="4" t="inlineStr">
        <is>
          <t>Gained in 2024 (New Win)</t>
        </is>
      </c>
      <c r="E81" s="12" t="n">
        <v>160</v>
      </c>
      <c r="F81" s="13">
        <f>160/640</f>
        <v/>
      </c>
      <c r="G81" s="14" t="inlineStr">
        <is>
          <t>SAD</t>
        </is>
      </c>
      <c r="H81" s="12" t="n">
        <v>205</v>
      </c>
      <c r="I81" s="13">
        <f>205/567</f>
        <v/>
      </c>
      <c r="J81" s="14" t="inlineStr">
        <is>
          <t>INC</t>
        </is>
      </c>
      <c r="K81" s="12" t="n">
        <v>45</v>
      </c>
      <c r="L81" s="15">
        <f>I81-F81</f>
        <v/>
      </c>
      <c r="M81" s="12" t="n">
        <v>15</v>
      </c>
      <c r="N81" s="12" t="n">
        <v>567</v>
      </c>
    </row>
    <row r="82" ht="20" customHeight="1">
      <c r="A82" s="2" t="n">
        <v>81</v>
      </c>
      <c r="B82" s="3" t="inlineStr">
        <is>
          <t>Chhina Retwala</t>
        </is>
      </c>
      <c r="C82" s="3" t="inlineStr">
        <is>
          <t>ਛੀਨਾ ਰੇਤ ਵਾਲਾ</t>
        </is>
      </c>
      <c r="D82" s="18" t="inlineStr">
        <is>
          <t>Lost in 2024 (to AAP)</t>
        </is>
      </c>
      <c r="E82" s="5" t="n">
        <v>145</v>
      </c>
      <c r="F82" s="6">
        <f>145/445</f>
        <v/>
      </c>
      <c r="G82" s="7" t="inlineStr">
        <is>
          <t>INC</t>
        </is>
      </c>
      <c r="H82" s="5" t="n">
        <v>189</v>
      </c>
      <c r="I82" s="6">
        <f>189/439</f>
        <v/>
      </c>
      <c r="J82" s="7" t="inlineStr">
        <is>
          <t>AAP</t>
        </is>
      </c>
      <c r="K82" s="5" t="n">
        <v>44</v>
      </c>
      <c r="L82" s="8">
        <f>I82-F82</f>
        <v/>
      </c>
      <c r="M82" s="5" t="n">
        <v>21</v>
      </c>
      <c r="N82" s="5" t="n">
        <v>439</v>
      </c>
    </row>
    <row r="83" ht="20" customHeight="1">
      <c r="A83" s="9" t="n">
        <v>82</v>
      </c>
      <c r="B83" s="10" t="inlineStr">
        <is>
          <t>Thakkar Sandhu</t>
        </is>
      </c>
      <c r="C83" s="10" t="inlineStr">
        <is>
          <t>ਠੱਕਰ ਸੰਧੂ</t>
        </is>
      </c>
      <c r="D83" s="11" t="inlineStr">
        <is>
          <t>Won Both Times (Stronghold)</t>
        </is>
      </c>
      <c r="E83" s="12" t="n">
        <v>203</v>
      </c>
      <c r="F83" s="13">
        <f>203/579</f>
        <v/>
      </c>
      <c r="G83" s="14" t="inlineStr">
        <is>
          <t>INC</t>
        </is>
      </c>
      <c r="H83" s="12" t="n">
        <v>345</v>
      </c>
      <c r="I83" s="13">
        <f>345/575</f>
        <v/>
      </c>
      <c r="J83" s="14" t="inlineStr">
        <is>
          <t>INC</t>
        </is>
      </c>
      <c r="K83" s="12" t="n">
        <v>142</v>
      </c>
      <c r="L83" s="15">
        <f>I83-F83</f>
        <v/>
      </c>
      <c r="M83" s="12" t="n">
        <v>227</v>
      </c>
      <c r="N83" s="12" t="n">
        <v>575</v>
      </c>
    </row>
    <row r="84" ht="20" customHeight="1">
      <c r="A84" s="2" t="n">
        <v>83</v>
      </c>
      <c r="B84" s="3" t="inlineStr">
        <is>
          <t>Thakkar Sandhu</t>
        </is>
      </c>
      <c r="C84" s="3" t="inlineStr">
        <is>
          <t>ਠੱਕਰ ਸੰਧੂ</t>
        </is>
      </c>
      <c r="D84" s="4" t="inlineStr">
        <is>
          <t>Gained in 2024 (New Win)</t>
        </is>
      </c>
      <c r="E84" s="5" t="n">
        <v>87</v>
      </c>
      <c r="F84" s="6">
        <f>87/402</f>
        <v/>
      </c>
      <c r="G84" s="7" t="inlineStr">
        <is>
          <t>SAD</t>
        </is>
      </c>
      <c r="H84" s="5" t="n">
        <v>112</v>
      </c>
      <c r="I84" s="6">
        <f>112/326</f>
        <v/>
      </c>
      <c r="J84" s="7" t="inlineStr">
        <is>
          <t>INC</t>
        </is>
      </c>
      <c r="K84" s="5" t="n">
        <v>25</v>
      </c>
      <c r="L84" s="8">
        <f>I84-F84</f>
        <v/>
      </c>
      <c r="M84" s="5" t="n">
        <v>11</v>
      </c>
      <c r="N84" s="5" t="n">
        <v>326</v>
      </c>
    </row>
    <row r="85" ht="20" customHeight="1">
      <c r="A85" s="9" t="n">
        <v>84</v>
      </c>
      <c r="B85" s="10" t="inlineStr">
        <is>
          <t>Kallu Sohal</t>
        </is>
      </c>
      <c r="C85" s="10" t="inlineStr">
        <is>
          <t>ਕੱਲੂ ਸੋਹਲ</t>
        </is>
      </c>
      <c r="D85" s="11" t="inlineStr">
        <is>
          <t>Won Both Times (Stronghold)</t>
        </is>
      </c>
      <c r="E85" s="12" t="n">
        <v>227</v>
      </c>
      <c r="F85" s="13">
        <f>227/542</f>
        <v/>
      </c>
      <c r="G85" s="14" t="inlineStr">
        <is>
          <t>INC</t>
        </is>
      </c>
      <c r="H85" s="12" t="n">
        <v>247</v>
      </c>
      <c r="I85" s="13">
        <f>247/479</f>
        <v/>
      </c>
      <c r="J85" s="14" t="inlineStr">
        <is>
          <t>INC</t>
        </is>
      </c>
      <c r="K85" s="12" t="n">
        <v>20</v>
      </c>
      <c r="L85" s="15">
        <f>I85-F85</f>
        <v/>
      </c>
      <c r="M85" s="12" t="n">
        <v>122</v>
      </c>
      <c r="N85" s="12" t="n">
        <v>479</v>
      </c>
    </row>
    <row r="86" ht="20" customHeight="1">
      <c r="A86" s="2" t="n">
        <v>85</v>
      </c>
      <c r="B86" s="3" t="inlineStr">
        <is>
          <t>Jogi Cheema + Chamiyari</t>
        </is>
      </c>
      <c r="C86" s="3" t="inlineStr">
        <is>
          <t>ਜੋਗੀ ਚੀਮਾ + ਚਮਿਆਰੀ</t>
        </is>
      </c>
      <c r="D86" s="18" t="inlineStr">
        <is>
          <t>Lost in 2024 (to AAP)</t>
        </is>
      </c>
      <c r="E86" s="5" t="n">
        <v>262</v>
      </c>
      <c r="F86" s="6">
        <f>262/764</f>
        <v/>
      </c>
      <c r="G86" s="7" t="inlineStr">
        <is>
          <t>INC</t>
        </is>
      </c>
      <c r="H86" s="5" t="n">
        <v>212</v>
      </c>
      <c r="I86" s="6">
        <f>212/678</f>
        <v/>
      </c>
      <c r="J86" s="7" t="inlineStr">
        <is>
          <t>AAP</t>
        </is>
      </c>
      <c r="K86" s="5" t="n">
        <v>-50</v>
      </c>
      <c r="L86" s="8">
        <f>I86-F86</f>
        <v/>
      </c>
      <c r="M86" s="5" t="n">
        <v>97</v>
      </c>
      <c r="N86" s="5" t="n">
        <v>678</v>
      </c>
    </row>
    <row r="87" ht="20" customHeight="1">
      <c r="A87" s="9" t="n">
        <v>86</v>
      </c>
      <c r="B87" s="10" t="inlineStr">
        <is>
          <t>Mallian</t>
        </is>
      </c>
      <c r="C87" s="10" t="inlineStr">
        <is>
          <t>ਮੱਲੀਆਂ</t>
        </is>
      </c>
      <c r="D87" s="16" t="inlineStr">
        <is>
          <t>Lost Both Times (Deficit)</t>
        </is>
      </c>
      <c r="E87" s="12" t="n">
        <v>164</v>
      </c>
      <c r="F87" s="13">
        <f>164/551</f>
        <v/>
      </c>
      <c r="G87" s="14" t="inlineStr">
        <is>
          <t>SAD</t>
        </is>
      </c>
      <c r="H87" s="12" t="n">
        <v>200</v>
      </c>
      <c r="I87" s="13">
        <f>200/542</f>
        <v/>
      </c>
      <c r="J87" s="14" t="inlineStr">
        <is>
          <t>AAP</t>
        </is>
      </c>
      <c r="K87" s="12" t="n">
        <v>36</v>
      </c>
      <c r="L87" s="15">
        <f>I87-F87</f>
        <v/>
      </c>
      <c r="M87" s="12" t="n">
        <v>35</v>
      </c>
      <c r="N87" s="12" t="n">
        <v>542</v>
      </c>
    </row>
    <row r="88" ht="20" customHeight="1">
      <c r="A88" s="2" t="n">
        <v>87</v>
      </c>
      <c r="B88" s="3" t="inlineStr">
        <is>
          <t>Balaggan</t>
        </is>
      </c>
      <c r="C88" s="3" t="inlineStr">
        <is>
          <t>ਬਲੱਗਣ</t>
        </is>
      </c>
      <c r="D88" s="11" t="inlineStr">
        <is>
          <t>Won Both Times (Stronghold)</t>
        </is>
      </c>
      <c r="E88" s="5" t="n">
        <v>153</v>
      </c>
      <c r="F88" s="6">
        <f>153/409</f>
        <v/>
      </c>
      <c r="G88" s="7" t="inlineStr">
        <is>
          <t>INC</t>
        </is>
      </c>
      <c r="H88" s="5" t="n">
        <v>188</v>
      </c>
      <c r="I88" s="6">
        <f>188/372</f>
        <v/>
      </c>
      <c r="J88" s="7" t="inlineStr">
        <is>
          <t>INC</t>
        </is>
      </c>
      <c r="K88" s="5" t="n">
        <v>35</v>
      </c>
      <c r="L88" s="8">
        <f>I88-F88</f>
        <v/>
      </c>
      <c r="M88" s="5" t="n">
        <v>67</v>
      </c>
      <c r="N88" s="5" t="n">
        <v>372</v>
      </c>
    </row>
    <row r="89" ht="20" customHeight="1">
      <c r="A89" s="9" t="n">
        <v>88</v>
      </c>
      <c r="B89" s="10" t="inlineStr">
        <is>
          <t>Kala Bala</t>
        </is>
      </c>
      <c r="C89" s="10" t="inlineStr">
        <is>
          <t>ਕਾਲਾ ਬਾਲਾ</t>
        </is>
      </c>
      <c r="D89" s="11" t="inlineStr">
        <is>
          <t>Won Both Times (Stronghold)</t>
        </is>
      </c>
      <c r="E89" s="12" t="n">
        <v>333</v>
      </c>
      <c r="F89" s="13">
        <f>333/861</f>
        <v/>
      </c>
      <c r="G89" s="14" t="inlineStr">
        <is>
          <t>INC</t>
        </is>
      </c>
      <c r="H89" s="12" t="n">
        <v>374</v>
      </c>
      <c r="I89" s="13">
        <f>374/774</f>
        <v/>
      </c>
      <c r="J89" s="14" t="inlineStr">
        <is>
          <t>INC</t>
        </is>
      </c>
      <c r="K89" s="12" t="n">
        <v>41</v>
      </c>
      <c r="L89" s="15">
        <f>I89-F89</f>
        <v/>
      </c>
      <c r="M89" s="12" t="n">
        <v>216</v>
      </c>
      <c r="N89" s="12" t="n">
        <v>774</v>
      </c>
    </row>
    <row r="90" ht="20" customHeight="1">
      <c r="A90" s="2" t="n">
        <v>89</v>
      </c>
      <c r="B90" s="3" t="inlineStr">
        <is>
          <t>Kot Yograj</t>
        </is>
      </c>
      <c r="C90" s="3" t="inlineStr">
        <is>
          <t>ਕੋਟ ਯੋਗਰਾਜ</t>
        </is>
      </c>
      <c r="D90" s="11" t="inlineStr">
        <is>
          <t>Won Both Times (Stronghold)</t>
        </is>
      </c>
      <c r="E90" s="5" t="n">
        <v>247</v>
      </c>
      <c r="F90" s="6">
        <f>247/507</f>
        <v/>
      </c>
      <c r="G90" s="7" t="inlineStr">
        <is>
          <t>INC</t>
        </is>
      </c>
      <c r="H90" s="5" t="n">
        <v>268</v>
      </c>
      <c r="I90" s="6">
        <f>268/477</f>
        <v/>
      </c>
      <c r="J90" s="7" t="inlineStr">
        <is>
          <t>INC</t>
        </is>
      </c>
      <c r="K90" s="5" t="n">
        <v>21</v>
      </c>
      <c r="L90" s="8">
        <f>I90-F90</f>
        <v/>
      </c>
      <c r="M90" s="5" t="n">
        <v>191</v>
      </c>
      <c r="N90" s="5" t="n">
        <v>477</v>
      </c>
    </row>
    <row r="91" ht="20" customHeight="1">
      <c r="A91" s="9" t="n">
        <v>90</v>
      </c>
      <c r="B91" s="10" t="inlineStr">
        <is>
          <t>Duluana</t>
        </is>
      </c>
      <c r="C91" s="10" t="inlineStr">
        <is>
          <t>ਦੁਲੂਆਣਾ</t>
        </is>
      </c>
      <c r="D91" s="16" t="inlineStr">
        <is>
          <t>Lost Both Times (Deficit)</t>
        </is>
      </c>
      <c r="E91" s="12" t="n">
        <v>181</v>
      </c>
      <c r="F91" s="13">
        <f>181/480</f>
        <v/>
      </c>
      <c r="G91" s="14" t="inlineStr">
        <is>
          <t>AAP</t>
        </is>
      </c>
      <c r="H91" s="12" t="n">
        <v>111</v>
      </c>
      <c r="I91" s="13">
        <f>111/455</f>
        <v/>
      </c>
      <c r="J91" s="14" t="inlineStr">
        <is>
          <t>AAP</t>
        </is>
      </c>
      <c r="K91" s="12" t="n">
        <v>-70</v>
      </c>
      <c r="L91" s="15">
        <f>I91-F91</f>
        <v/>
      </c>
      <c r="M91" s="12" t="n">
        <v>125</v>
      </c>
      <c r="N91" s="12" t="n">
        <v>455</v>
      </c>
    </row>
    <row r="92" ht="20" customHeight="1">
      <c r="A92" s="2" t="n">
        <v>91</v>
      </c>
      <c r="B92" s="3" t="inlineStr">
        <is>
          <t>Sahaipur, Langarkot, Haveli Harni</t>
        </is>
      </c>
      <c r="C92" s="3" t="inlineStr">
        <is>
          <t>ਸਹਾਈਪੁਰ, ਲੰਗਰਕੋਟ, ਹਵੇਲੀ ਹਾਰਨੀ</t>
        </is>
      </c>
      <c r="D92" s="16" t="inlineStr">
        <is>
          <t>Lost Both Times (Deficit)</t>
        </is>
      </c>
      <c r="E92" s="5" t="n">
        <v>165</v>
      </c>
      <c r="F92" s="6">
        <f>165/604</f>
        <v/>
      </c>
      <c r="G92" s="7" t="inlineStr">
        <is>
          <t>AAP</t>
        </is>
      </c>
      <c r="H92" s="5" t="n">
        <v>163</v>
      </c>
      <c r="I92" s="6">
        <f>163/572</f>
        <v/>
      </c>
      <c r="J92" s="7" t="inlineStr">
        <is>
          <t>AAP</t>
        </is>
      </c>
      <c r="K92" s="5" t="n">
        <v>-2</v>
      </c>
      <c r="L92" s="8">
        <f>I92-F92</f>
        <v/>
      </c>
      <c r="M92" s="5" t="n">
        <v>120</v>
      </c>
      <c r="N92" s="5" t="n">
        <v>572</v>
      </c>
    </row>
    <row r="93" ht="20" customHeight="1">
      <c r="A93" s="9" t="n">
        <v>92</v>
      </c>
      <c r="B93" s="10" t="inlineStr">
        <is>
          <t>Bhikari Harni, Saidpur Harni, Bhore Harni</t>
        </is>
      </c>
      <c r="C93" s="10" t="inlineStr">
        <is>
          <t>ਭਿਖਾਰੀ ਹਾਰਨੀ, ਸੈਦਪੁਰ ਹਾਰਨੀ, ਭੋਰੇ ਹਾਰਨੀ</t>
        </is>
      </c>
      <c r="D93" s="11" t="inlineStr">
        <is>
          <t>Won Both Times (Stronghold)</t>
        </is>
      </c>
      <c r="E93" s="12" t="n">
        <v>365</v>
      </c>
      <c r="F93" s="13">
        <f>365/697</f>
        <v/>
      </c>
      <c r="G93" s="14" t="inlineStr">
        <is>
          <t>INC</t>
        </is>
      </c>
      <c r="H93" s="12" t="n">
        <v>303</v>
      </c>
      <c r="I93" s="13">
        <f>303/624</f>
        <v/>
      </c>
      <c r="J93" s="14" t="inlineStr">
        <is>
          <t>INC</t>
        </is>
      </c>
      <c r="K93" s="12" t="n">
        <v>-62</v>
      </c>
      <c r="L93" s="15">
        <f>I93-F93</f>
        <v/>
      </c>
      <c r="M93" s="12" t="n">
        <v>158</v>
      </c>
      <c r="N93" s="12" t="n">
        <v>624</v>
      </c>
    </row>
    <row r="94" ht="20" customHeight="1">
      <c r="A94" s="2" t="n">
        <v>93</v>
      </c>
      <c r="B94" s="3" t="inlineStr">
        <is>
          <t>Sathiali</t>
        </is>
      </c>
      <c r="C94" s="3" t="inlineStr">
        <is>
          <t>ਸਠਿਆਲੀ</t>
        </is>
      </c>
      <c r="D94" s="4" t="inlineStr">
        <is>
          <t>Gained in 2024 (New Win)</t>
        </is>
      </c>
      <c r="E94" s="5" t="n">
        <v>123</v>
      </c>
      <c r="F94" s="6">
        <f>123/514</f>
        <v/>
      </c>
      <c r="G94" s="7" t="inlineStr">
        <is>
          <t>SAD</t>
        </is>
      </c>
      <c r="H94" s="5" t="n">
        <v>316</v>
      </c>
      <c r="I94" s="6">
        <f>316/500</f>
        <v/>
      </c>
      <c r="J94" s="7" t="inlineStr">
        <is>
          <t>INC</t>
        </is>
      </c>
      <c r="K94" s="5" t="n">
        <v>193</v>
      </c>
      <c r="L94" s="8">
        <f>I94-F94</f>
        <v/>
      </c>
      <c r="M94" s="5" t="n">
        <v>192</v>
      </c>
      <c r="N94" s="5" t="n">
        <v>500</v>
      </c>
    </row>
    <row r="95" ht="20" customHeight="1">
      <c r="A95" s="9" t="n">
        <v>94</v>
      </c>
      <c r="B95" s="10" t="inlineStr">
        <is>
          <t>Sathiali</t>
        </is>
      </c>
      <c r="C95" s="10" t="inlineStr">
        <is>
          <t>ਸਠਿਆਲੀ</t>
        </is>
      </c>
      <c r="D95" s="16" t="inlineStr">
        <is>
          <t>Lost Both Times (Deficit)</t>
        </is>
      </c>
      <c r="E95" s="12" t="n">
        <v>99</v>
      </c>
      <c r="F95" s="13">
        <f>99/396</f>
        <v/>
      </c>
      <c r="G95" s="14" t="inlineStr">
        <is>
          <t>SAD</t>
        </is>
      </c>
      <c r="H95" s="12" t="n">
        <v>111</v>
      </c>
      <c r="I95" s="13">
        <f>111/378</f>
        <v/>
      </c>
      <c r="J95" s="14" t="inlineStr">
        <is>
          <t>AAP</t>
        </is>
      </c>
      <c r="K95" s="12" t="n">
        <v>12</v>
      </c>
      <c r="L95" s="15">
        <f>I95-F95</f>
        <v/>
      </c>
      <c r="M95" s="12" t="n">
        <v>42</v>
      </c>
      <c r="N95" s="12" t="n">
        <v>378</v>
      </c>
    </row>
    <row r="96" ht="20" customHeight="1">
      <c r="A96" s="2" t="n">
        <v>95</v>
      </c>
      <c r="B96" s="3" t="inlineStr">
        <is>
          <t>Kahnuwan</t>
        </is>
      </c>
      <c r="C96" s="3" t="inlineStr">
        <is>
          <t>ਕਾਹਨੂੰਵਾਨ</t>
        </is>
      </c>
      <c r="D96" s="18" t="inlineStr">
        <is>
          <t>Lost in 2024 (to AAP)</t>
        </is>
      </c>
      <c r="E96" s="5" t="n">
        <v>215</v>
      </c>
      <c r="F96" s="6">
        <f>215/597</f>
        <v/>
      </c>
      <c r="G96" s="7" t="inlineStr">
        <is>
          <t>INC</t>
        </is>
      </c>
      <c r="H96" s="5" t="n">
        <v>189</v>
      </c>
      <c r="I96" s="6">
        <f>189/528</f>
        <v/>
      </c>
      <c r="J96" s="7" t="inlineStr">
        <is>
          <t>AAP</t>
        </is>
      </c>
      <c r="K96" s="5" t="n">
        <v>-26</v>
      </c>
      <c r="L96" s="8">
        <f>I96-F96</f>
        <v/>
      </c>
      <c r="M96" s="5" t="n">
        <v>25</v>
      </c>
      <c r="N96" s="5" t="n">
        <v>528</v>
      </c>
    </row>
    <row r="97" ht="20" customHeight="1">
      <c r="A97" s="9" t="n">
        <v>96</v>
      </c>
      <c r="B97" s="10" t="inlineStr">
        <is>
          <t>Kahnuwan</t>
        </is>
      </c>
      <c r="C97" s="10" t="inlineStr">
        <is>
          <t>ਕਾਹਨੂੰਵਾਨ</t>
        </is>
      </c>
      <c r="D97" s="18" t="inlineStr">
        <is>
          <t>Lost in 2024 (to BJP)</t>
        </is>
      </c>
      <c r="E97" s="12" t="n">
        <v>202</v>
      </c>
      <c r="F97" s="13">
        <f>202/560</f>
        <v/>
      </c>
      <c r="G97" s="14" t="inlineStr">
        <is>
          <t>INC</t>
        </is>
      </c>
      <c r="H97" s="12" t="n">
        <v>140</v>
      </c>
      <c r="I97" s="13">
        <f>140/510</f>
        <v/>
      </c>
      <c r="J97" s="14" t="inlineStr">
        <is>
          <t>BJP</t>
        </is>
      </c>
      <c r="K97" s="12" t="n">
        <v>-62</v>
      </c>
      <c r="L97" s="15">
        <f>I97-F97</f>
        <v/>
      </c>
      <c r="M97" s="12" t="n">
        <v>40</v>
      </c>
      <c r="N97" s="12" t="n">
        <v>510</v>
      </c>
    </row>
    <row r="98" ht="20" customHeight="1">
      <c r="A98" s="2" t="n">
        <v>97</v>
      </c>
      <c r="B98" s="3" t="inlineStr">
        <is>
          <t>Kahnuwan</t>
        </is>
      </c>
      <c r="C98" s="3" t="inlineStr">
        <is>
          <t>ਕਾਹਨੂੰਵਾਨ</t>
        </is>
      </c>
      <c r="D98" s="4" t="inlineStr">
        <is>
          <t>Gained in 2024 (New Win)</t>
        </is>
      </c>
      <c r="E98" s="5" t="n">
        <v>200</v>
      </c>
      <c r="F98" s="6">
        <f>200/716</f>
        <v/>
      </c>
      <c r="G98" s="7" t="inlineStr">
        <is>
          <t>AAP</t>
        </is>
      </c>
      <c r="H98" s="5" t="n">
        <v>187</v>
      </c>
      <c r="I98" s="6">
        <f>187/637</f>
        <v/>
      </c>
      <c r="J98" s="7" t="inlineStr">
        <is>
          <t>INC</t>
        </is>
      </c>
      <c r="K98" s="5" t="n">
        <v>-13</v>
      </c>
      <c r="L98" s="8">
        <f>I98-F98</f>
        <v/>
      </c>
      <c r="M98" s="5" t="n">
        <v>12</v>
      </c>
      <c r="N98" s="5" t="n">
        <v>637</v>
      </c>
    </row>
    <row r="99" ht="20" customHeight="1">
      <c r="A99" s="9" t="n">
        <v>98</v>
      </c>
      <c r="B99" s="10" t="inlineStr">
        <is>
          <t>Kahnuwan</t>
        </is>
      </c>
      <c r="C99" s="10" t="inlineStr">
        <is>
          <t>ਕਾਹਨੂੰਵਾਨ</t>
        </is>
      </c>
      <c r="D99" s="18" t="inlineStr">
        <is>
          <t>Lost in 2024 (to BJP)</t>
        </is>
      </c>
      <c r="E99" s="12" t="n">
        <v>301</v>
      </c>
      <c r="F99" s="13">
        <f>301/791</f>
        <v/>
      </c>
      <c r="G99" s="14" t="inlineStr">
        <is>
          <t>INC</t>
        </is>
      </c>
      <c r="H99" s="12" t="n">
        <v>81</v>
      </c>
      <c r="I99" s="13">
        <f>81/794</f>
        <v/>
      </c>
      <c r="J99" s="14" t="inlineStr">
        <is>
          <t>BJP</t>
        </is>
      </c>
      <c r="K99" s="12" t="n">
        <v>-220</v>
      </c>
      <c r="L99" s="15">
        <f>I99-F99</f>
        <v/>
      </c>
      <c r="M99" s="12" t="n">
        <v>382</v>
      </c>
      <c r="N99" s="12" t="n">
        <v>794</v>
      </c>
    </row>
    <row r="100" ht="20" customHeight="1">
      <c r="A100" s="2" t="n">
        <v>99</v>
      </c>
      <c r="B100" s="3" t="inlineStr">
        <is>
          <t>Kahnuwan</t>
        </is>
      </c>
      <c r="C100" s="3" t="inlineStr">
        <is>
          <t>ਕਾਹਨੂੰਵਾਨ</t>
        </is>
      </c>
      <c r="D100" s="18" t="inlineStr">
        <is>
          <t>Lost in 2024 (to BJP)</t>
        </is>
      </c>
      <c r="E100" s="5" t="n">
        <v>186</v>
      </c>
      <c r="F100" s="6">
        <f>186/562</f>
        <v/>
      </c>
      <c r="G100" s="7" t="inlineStr">
        <is>
          <t>INC</t>
        </is>
      </c>
      <c r="H100" s="5" t="n">
        <v>47</v>
      </c>
      <c r="I100" s="6">
        <f>47/544</f>
        <v/>
      </c>
      <c r="J100" s="7" t="inlineStr">
        <is>
          <t>BJP</t>
        </is>
      </c>
      <c r="K100" s="5" t="n">
        <v>-139</v>
      </c>
      <c r="L100" s="8">
        <f>I100-F100</f>
        <v/>
      </c>
      <c r="M100" s="5" t="n">
        <v>257</v>
      </c>
      <c r="N100" s="5" t="n">
        <v>544</v>
      </c>
    </row>
    <row r="101" ht="20" customHeight="1">
      <c r="A101" s="9" t="n">
        <v>100</v>
      </c>
      <c r="B101" s="10" t="inlineStr">
        <is>
          <t>Kahnuwan</t>
        </is>
      </c>
      <c r="C101" s="10" t="inlineStr">
        <is>
          <t>ਕਾਹਨੂੰਵਾਨ</t>
        </is>
      </c>
      <c r="D101" s="11" t="inlineStr">
        <is>
          <t>Won Both Times (Stronghold)</t>
        </is>
      </c>
      <c r="E101" s="12" t="n">
        <v>197</v>
      </c>
      <c r="F101" s="13">
        <f>197/501</f>
        <v/>
      </c>
      <c r="G101" s="14" t="inlineStr">
        <is>
          <t>INC</t>
        </is>
      </c>
      <c r="H101" s="12" t="n">
        <v>169</v>
      </c>
      <c r="I101" s="13">
        <f>169/439</f>
        <v/>
      </c>
      <c r="J101" s="14" t="inlineStr">
        <is>
          <t>INC</t>
        </is>
      </c>
      <c r="K101" s="12" t="n">
        <v>-28</v>
      </c>
      <c r="L101" s="15">
        <f>I101-F101</f>
        <v/>
      </c>
      <c r="M101" s="12" t="n">
        <v>27</v>
      </c>
      <c r="N101" s="12" t="n">
        <v>439</v>
      </c>
    </row>
    <row r="102" ht="20" customHeight="1">
      <c r="A102" s="2" t="n">
        <v>101</v>
      </c>
      <c r="B102" s="3" t="inlineStr">
        <is>
          <t>Kahnuwan</t>
        </is>
      </c>
      <c r="C102" s="3" t="inlineStr">
        <is>
          <t>ਕਾਹਨੂੰਵਾਨ</t>
        </is>
      </c>
      <c r="D102" s="11" t="inlineStr">
        <is>
          <t>Won Both Times (Stronghold)</t>
        </is>
      </c>
      <c r="E102" s="5" t="n">
        <v>361</v>
      </c>
      <c r="F102" s="6">
        <f>361/850</f>
        <v/>
      </c>
      <c r="G102" s="7" t="inlineStr">
        <is>
          <t>INC</t>
        </is>
      </c>
      <c r="H102" s="5" t="n">
        <v>247</v>
      </c>
      <c r="I102" s="6">
        <f>247/694</f>
        <v/>
      </c>
      <c r="J102" s="7" t="inlineStr">
        <is>
          <t>INC</t>
        </is>
      </c>
      <c r="K102" s="5" t="n">
        <v>-114</v>
      </c>
      <c r="L102" s="8">
        <f>I102-F102</f>
        <v/>
      </c>
      <c r="M102" s="5" t="n">
        <v>20</v>
      </c>
      <c r="N102" s="5" t="n">
        <v>694</v>
      </c>
    </row>
    <row r="103" ht="20" customHeight="1">
      <c r="A103" s="9" t="n">
        <v>102</v>
      </c>
      <c r="B103" s="10" t="inlineStr">
        <is>
          <t>Kahnuwan</t>
        </is>
      </c>
      <c r="C103" s="10" t="inlineStr">
        <is>
          <t>ਕਾਹਨੂੰਵਾਨ</t>
        </is>
      </c>
      <c r="D103" s="18" t="inlineStr">
        <is>
          <t>Lost in 2024 (to AAP)</t>
        </is>
      </c>
      <c r="E103" s="12" t="n">
        <v>298</v>
      </c>
      <c r="F103" s="13">
        <f>298/703</f>
        <v/>
      </c>
      <c r="G103" s="14" t="inlineStr">
        <is>
          <t>INC</t>
        </is>
      </c>
      <c r="H103" s="12" t="n">
        <v>180</v>
      </c>
      <c r="I103" s="13">
        <f>180/566</f>
        <v/>
      </c>
      <c r="J103" s="14" t="inlineStr">
        <is>
          <t>AAP</t>
        </is>
      </c>
      <c r="K103" s="12" t="n">
        <v>-118</v>
      </c>
      <c r="L103" s="15">
        <f>I103-F103</f>
        <v/>
      </c>
      <c r="M103" s="12" t="n">
        <v>19</v>
      </c>
      <c r="N103" s="12" t="n">
        <v>566</v>
      </c>
    </row>
    <row r="104" ht="20" customHeight="1">
      <c r="A104" s="2" t="n">
        <v>103</v>
      </c>
      <c r="B104" s="3" t="inlineStr">
        <is>
          <t>Chhorian Bangar</t>
        </is>
      </c>
      <c r="C104" s="3" t="inlineStr">
        <is>
          <t>ਛੋੜੀਆ ਬਾਂਗਰ</t>
        </is>
      </c>
      <c r="D104" s="18" t="inlineStr">
        <is>
          <t>Lost in 2024 (to AAP)</t>
        </is>
      </c>
      <c r="E104" s="5" t="n">
        <v>115</v>
      </c>
      <c r="F104" s="6">
        <f>115/307</f>
        <v/>
      </c>
      <c r="G104" s="7" t="inlineStr">
        <is>
          <t>INC</t>
        </is>
      </c>
      <c r="H104" s="5" t="n">
        <v>105</v>
      </c>
      <c r="I104" s="6">
        <f>105/268</f>
        <v/>
      </c>
      <c r="J104" s="7" t="inlineStr">
        <is>
          <t>AAP</t>
        </is>
      </c>
      <c r="K104" s="5" t="n">
        <v>-10</v>
      </c>
      <c r="L104" s="8">
        <f>I104-F104</f>
        <v/>
      </c>
      <c r="M104" s="5" t="n">
        <v>11</v>
      </c>
      <c r="N104" s="5" t="n">
        <v>268</v>
      </c>
    </row>
    <row r="105" ht="20" customHeight="1">
      <c r="A105" s="9" t="n">
        <v>104</v>
      </c>
      <c r="B105" s="10" t="inlineStr">
        <is>
          <t>Kotli Siania</t>
        </is>
      </c>
      <c r="C105" s="10" t="inlineStr">
        <is>
          <t>ਕੋਟਲੀ ਸਿਆਣੀਆਂ</t>
        </is>
      </c>
      <c r="D105" s="16" t="inlineStr">
        <is>
          <t>Lost Both Times (Deficit)</t>
        </is>
      </c>
      <c r="E105" s="12" t="n">
        <v>141</v>
      </c>
      <c r="F105" s="13">
        <f>141/536</f>
        <v/>
      </c>
      <c r="G105" s="14" t="inlineStr">
        <is>
          <t>SAD</t>
        </is>
      </c>
      <c r="H105" s="12" t="n">
        <v>133</v>
      </c>
      <c r="I105" s="13">
        <f>133/484</f>
        <v/>
      </c>
      <c r="J105" s="14" t="inlineStr">
        <is>
          <t>AAP</t>
        </is>
      </c>
      <c r="K105" s="12" t="n">
        <v>-8</v>
      </c>
      <c r="L105" s="15">
        <f>I105-F105</f>
        <v/>
      </c>
      <c r="M105" s="12" t="n">
        <v>117</v>
      </c>
      <c r="N105" s="12" t="n">
        <v>484</v>
      </c>
    </row>
    <row r="106" ht="20" customHeight="1">
      <c r="A106" s="2" t="n">
        <v>105</v>
      </c>
      <c r="B106" s="3" t="inlineStr">
        <is>
          <t>Kotli Siania</t>
        </is>
      </c>
      <c r="C106" s="3" t="inlineStr">
        <is>
          <t>ਕੋਟਲੀ ਸਿਆਣੀਆਂ</t>
        </is>
      </c>
      <c r="D106" s="16" t="inlineStr">
        <is>
          <t>No Polling in 2024</t>
        </is>
      </c>
      <c r="E106" s="5" t="n">
        <v>3</v>
      </c>
      <c r="F106" s="6">
        <f>3/59</f>
        <v/>
      </c>
      <c r="G106" s="7" t="inlineStr">
        <is>
          <t>SAD</t>
        </is>
      </c>
      <c r="H106" s="5" t="n">
        <v>0</v>
      </c>
      <c r="I106" s="6" t="n">
        <v>0</v>
      </c>
      <c r="J106" s="7" t="inlineStr">
        <is>
          <t>N/A</t>
        </is>
      </c>
      <c r="K106" s="5" t="n">
        <v>-3</v>
      </c>
      <c r="L106" s="8">
        <f>I106-F106</f>
        <v/>
      </c>
      <c r="M106" s="5" t="n">
        <v>0</v>
      </c>
      <c r="N106" s="5" t="n">
        <v>0</v>
      </c>
    </row>
    <row r="107" ht="20" customHeight="1">
      <c r="A107" s="9" t="n">
        <v>106</v>
      </c>
      <c r="B107" s="10" t="inlineStr">
        <is>
          <t>Saidowal Khurd</t>
        </is>
      </c>
      <c r="C107" s="10" t="inlineStr">
        <is>
          <t>ਸੈਦੋਵਾਲ ਖੁਰਦ</t>
        </is>
      </c>
      <c r="D107" s="4" t="inlineStr">
        <is>
          <t>Gained in 2024 (New Win)</t>
        </is>
      </c>
      <c r="E107" s="12" t="n">
        <v>113</v>
      </c>
      <c r="F107" s="13">
        <f>113/429</f>
        <v/>
      </c>
      <c r="G107" s="14" t="inlineStr">
        <is>
          <t>AAP</t>
        </is>
      </c>
      <c r="H107" s="12" t="n">
        <v>221</v>
      </c>
      <c r="I107" s="13">
        <f>221/625</f>
        <v/>
      </c>
      <c r="J107" s="14" t="inlineStr">
        <is>
          <t>INC</t>
        </is>
      </c>
      <c r="K107" s="12" t="n">
        <v>108</v>
      </c>
      <c r="L107" s="15">
        <f>I107-F107</f>
        <v/>
      </c>
      <c r="M107" s="12" t="n">
        <v>35</v>
      </c>
      <c r="N107" s="12" t="n">
        <v>625</v>
      </c>
    </row>
    <row r="108" ht="20" customHeight="1">
      <c r="A108" s="2" t="n">
        <v>107</v>
      </c>
      <c r="B108" s="3" t="inlineStr">
        <is>
          <t>Saidowal Khurd, Bhaini Kaniya, Chakk Abdul</t>
        </is>
      </c>
      <c r="C108" s="3" t="inlineStr">
        <is>
          <t>ਸੈਦੋਵਾਲ ਖੁਰਦ, ਭੈਣੀ ਕਾਨੀਆਂ, ਚੱਕ ਅਬਦੁਲ</t>
        </is>
      </c>
      <c r="D108" s="16" t="inlineStr">
        <is>
          <t>Lost Both Times (Deficit)</t>
        </is>
      </c>
      <c r="E108" s="5" t="n">
        <v>152</v>
      </c>
      <c r="F108" s="6">
        <f>152/490</f>
        <v/>
      </c>
      <c r="G108" s="7" t="inlineStr">
        <is>
          <t>SAD</t>
        </is>
      </c>
      <c r="H108" s="5" t="n">
        <v>67</v>
      </c>
      <c r="I108" s="6">
        <f>67/235</f>
        <v/>
      </c>
      <c r="J108" s="7" t="inlineStr">
        <is>
          <t>BJP</t>
        </is>
      </c>
      <c r="K108" s="5" t="n">
        <v>-85</v>
      </c>
      <c r="L108" s="8">
        <f>I108-F108</f>
        <v/>
      </c>
      <c r="M108" s="5" t="n">
        <v>48</v>
      </c>
      <c r="N108" s="5" t="n">
        <v>235</v>
      </c>
    </row>
    <row r="109" ht="20" customHeight="1">
      <c r="A109" s="9" t="n">
        <v>108</v>
      </c>
      <c r="B109" s="10" t="inlineStr">
        <is>
          <t>Darapur, Jangal</t>
        </is>
      </c>
      <c r="C109" s="10" t="inlineStr">
        <is>
          <t>ਦਾਰਾਪੁਰ, ਜੰਗਲ</t>
        </is>
      </c>
      <c r="D109" s="18" t="inlineStr">
        <is>
          <t>Lost in 2024 (to AAP)</t>
        </is>
      </c>
      <c r="E109" s="12" t="n">
        <v>395</v>
      </c>
      <c r="F109" s="13">
        <f>395/910</f>
        <v/>
      </c>
      <c r="G109" s="14" t="inlineStr">
        <is>
          <t>INC</t>
        </is>
      </c>
      <c r="H109" s="12" t="n">
        <v>280</v>
      </c>
      <c r="I109" s="13">
        <f>280/826</f>
        <v/>
      </c>
      <c r="J109" s="14" t="inlineStr">
        <is>
          <t>AAP</t>
        </is>
      </c>
      <c r="K109" s="12" t="n">
        <v>-115</v>
      </c>
      <c r="L109" s="15">
        <f>I109-F109</f>
        <v/>
      </c>
      <c r="M109" s="12" t="n">
        <v>26</v>
      </c>
      <c r="N109" s="12" t="n">
        <v>826</v>
      </c>
    </row>
    <row r="110" ht="20" customHeight="1">
      <c r="A110" s="2" t="n">
        <v>109</v>
      </c>
      <c r="B110" s="3" t="inlineStr">
        <is>
          <t>Gulepur, Gargarian</t>
        </is>
      </c>
      <c r="C110" s="3" t="inlineStr">
        <is>
          <t>ਗੁਲੇਪੁਰ, ਗਾਰਗੜੀਆਂ</t>
        </is>
      </c>
      <c r="D110" s="4" t="inlineStr">
        <is>
          <t>Gained in 2024 (New Win)</t>
        </is>
      </c>
      <c r="E110" s="5" t="n">
        <v>172</v>
      </c>
      <c r="F110" s="6">
        <f>172/527</f>
        <v/>
      </c>
      <c r="G110" s="7" t="inlineStr">
        <is>
          <t>SAD</t>
        </is>
      </c>
      <c r="H110" s="5" t="n">
        <v>207</v>
      </c>
      <c r="I110" s="6">
        <f>207/495</f>
        <v/>
      </c>
      <c r="J110" s="7" t="inlineStr">
        <is>
          <t>INC</t>
        </is>
      </c>
      <c r="K110" s="5" t="n">
        <v>35</v>
      </c>
      <c r="L110" s="8">
        <f>I110-F110</f>
        <v/>
      </c>
      <c r="M110" s="5" t="n">
        <v>89</v>
      </c>
      <c r="N110" s="5" t="n">
        <v>495</v>
      </c>
    </row>
    <row r="111" ht="20" customHeight="1">
      <c r="A111" s="9" t="n">
        <v>110</v>
      </c>
      <c r="B111" s="10" t="inlineStr">
        <is>
          <t>Gulepur</t>
        </is>
      </c>
      <c r="C111" s="10" t="inlineStr">
        <is>
          <t>ਗੁਲੇਪੁਰ</t>
        </is>
      </c>
      <c r="D111" s="11" t="inlineStr">
        <is>
          <t>Won Both Times (Stronghold)</t>
        </is>
      </c>
      <c r="E111" s="12" t="n">
        <v>192</v>
      </c>
      <c r="F111" s="13">
        <f>192/615</f>
        <v/>
      </c>
      <c r="G111" s="14" t="inlineStr">
        <is>
          <t>INC</t>
        </is>
      </c>
      <c r="H111" s="12" t="n">
        <v>293</v>
      </c>
      <c r="I111" s="13">
        <f>293/570</f>
        <v/>
      </c>
      <c r="J111" s="14" t="inlineStr">
        <is>
          <t>INC</t>
        </is>
      </c>
      <c r="K111" s="12" t="n">
        <v>101</v>
      </c>
      <c r="L111" s="15">
        <f>I111-F111</f>
        <v/>
      </c>
      <c r="M111" s="12" t="n">
        <v>167</v>
      </c>
      <c r="N111" s="12" t="n">
        <v>570</v>
      </c>
    </row>
    <row r="112" ht="20" customHeight="1">
      <c r="A112" s="2" t="n">
        <v>111</v>
      </c>
      <c r="B112" s="3" t="inlineStr">
        <is>
          <t>Jagowal Bet</t>
        </is>
      </c>
      <c r="C112" s="3" t="inlineStr">
        <is>
          <t>ਜਾਗੋਵਾਲ ਬੇਟ</t>
        </is>
      </c>
      <c r="D112" s="17" t="inlineStr">
        <is>
          <t>Weak Booth (&lt; 20% Share)</t>
        </is>
      </c>
      <c r="E112" s="5" t="n">
        <v>179</v>
      </c>
      <c r="F112" s="6">
        <f>179/604</f>
        <v/>
      </c>
      <c r="G112" s="7" t="inlineStr">
        <is>
          <t>SAD</t>
        </is>
      </c>
      <c r="H112" s="5" t="n">
        <v>101</v>
      </c>
      <c r="I112" s="6">
        <f>101/596</f>
        <v/>
      </c>
      <c r="J112" s="7" t="inlineStr">
        <is>
          <t>AAP</t>
        </is>
      </c>
      <c r="K112" s="5" t="n">
        <v>-78</v>
      </c>
      <c r="L112" s="8">
        <f>I112-F112</f>
        <v/>
      </c>
      <c r="M112" s="5" t="n">
        <v>63</v>
      </c>
      <c r="N112" s="5" t="n">
        <v>596</v>
      </c>
    </row>
    <row r="113" ht="20" customHeight="1">
      <c r="A113" s="9" t="n">
        <v>112</v>
      </c>
      <c r="B113" s="10" t="inlineStr">
        <is>
          <t>Jagowal Bet, Jaati Sarai, Bhuriya Gujran</t>
        </is>
      </c>
      <c r="C113" s="10" t="inlineStr">
        <is>
          <t>ਜਾਗੋਵਾਲ ਬੇਟ, ਜਾਤੀ ਸਰਾਏ, ਭੂਰੀਆ ਗੁਜਰਾਂ</t>
        </is>
      </c>
      <c r="D113" s="11" t="inlineStr">
        <is>
          <t>Won Both Times (Stronghold)</t>
        </is>
      </c>
      <c r="E113" s="12" t="n">
        <v>257</v>
      </c>
      <c r="F113" s="13">
        <f>257/506</f>
        <v/>
      </c>
      <c r="G113" s="14" t="inlineStr">
        <is>
          <t>INC</t>
        </is>
      </c>
      <c r="H113" s="12" t="n">
        <v>152</v>
      </c>
      <c r="I113" s="13">
        <f>152/433</f>
        <v/>
      </c>
      <c r="J113" s="14" t="inlineStr">
        <is>
          <t>INC</t>
        </is>
      </c>
      <c r="K113" s="12" t="n">
        <v>-105</v>
      </c>
      <c r="L113" s="15">
        <f>I113-F113</f>
        <v/>
      </c>
      <c r="M113" s="12" t="n">
        <v>28</v>
      </c>
      <c r="N113" s="12" t="n">
        <v>433</v>
      </c>
    </row>
    <row r="114" ht="20" customHeight="1">
      <c r="A114" s="2" t="n">
        <v>113</v>
      </c>
      <c r="B114" s="3" t="inlineStr">
        <is>
          <t>Bhaini Paswal</t>
        </is>
      </c>
      <c r="C114" s="3" t="inlineStr">
        <is>
          <t>ਭੈਣੀ ਪਸਵਾਲ</t>
        </is>
      </c>
      <c r="D114" s="16" t="inlineStr">
        <is>
          <t>Lost Both Times (Deficit)</t>
        </is>
      </c>
      <c r="E114" s="5" t="n">
        <v>277</v>
      </c>
      <c r="F114" s="6">
        <f>277/793</f>
        <v/>
      </c>
      <c r="G114" s="7" t="inlineStr">
        <is>
          <t>AAP</t>
        </is>
      </c>
      <c r="H114" s="5" t="n">
        <v>193</v>
      </c>
      <c r="I114" s="6">
        <f>193/678</f>
        <v/>
      </c>
      <c r="J114" s="7" t="inlineStr">
        <is>
          <t>AAP</t>
        </is>
      </c>
      <c r="K114" s="5" t="n">
        <v>-84</v>
      </c>
      <c r="L114" s="8">
        <f>I114-F114</f>
        <v/>
      </c>
      <c r="M114" s="5" t="n">
        <v>67</v>
      </c>
      <c r="N114" s="5" t="n">
        <v>678</v>
      </c>
    </row>
    <row r="115" ht="20" customHeight="1">
      <c r="A115" s="9" t="n">
        <v>114</v>
      </c>
      <c r="B115" s="10" t="inlineStr">
        <is>
          <t>Bhaini Paswal, Randhawa Colony</t>
        </is>
      </c>
      <c r="C115" s="10" t="inlineStr">
        <is>
          <t>ਭੈਣੀ ਪਸਵਾਲ, ਰੰਧਾਵਾ ਕਲੋਨੀ</t>
        </is>
      </c>
      <c r="D115" s="16" t="inlineStr">
        <is>
          <t>Lost Both Times (Deficit)</t>
        </is>
      </c>
      <c r="E115" s="12" t="n">
        <v>141</v>
      </c>
      <c r="F115" s="13">
        <f>141/465</f>
        <v/>
      </c>
      <c r="G115" s="14" t="inlineStr">
        <is>
          <t>SAD</t>
        </is>
      </c>
      <c r="H115" s="12" t="n">
        <v>87</v>
      </c>
      <c r="I115" s="13">
        <f>87/400</f>
        <v/>
      </c>
      <c r="J115" s="14" t="inlineStr">
        <is>
          <t>AAP</t>
        </is>
      </c>
      <c r="K115" s="12" t="n">
        <v>-54</v>
      </c>
      <c r="L115" s="15">
        <f>I115-F115</f>
        <v/>
      </c>
      <c r="M115" s="12" t="n">
        <v>81</v>
      </c>
      <c r="N115" s="12" t="n">
        <v>400</v>
      </c>
    </row>
    <row r="116" ht="20" customHeight="1">
      <c r="A116" s="2" t="n">
        <v>115</v>
      </c>
      <c r="B116" s="3" t="inlineStr">
        <is>
          <t>Kishanpur, Kathana, Yodhe</t>
        </is>
      </c>
      <c r="C116" s="3" t="inlineStr">
        <is>
          <t>ਕਿਸ਼ਨਪੁਰ, ਕਠਾਣਾ, ਯੋਧੇ</t>
        </is>
      </c>
      <c r="D116" s="18" t="inlineStr">
        <is>
          <t>Lost in 2024 (to AAP)</t>
        </is>
      </c>
      <c r="E116" s="5" t="n">
        <v>273</v>
      </c>
      <c r="F116" s="6">
        <f>273/728</f>
        <v/>
      </c>
      <c r="G116" s="7" t="inlineStr">
        <is>
          <t>INC</t>
        </is>
      </c>
      <c r="H116" s="5" t="n">
        <v>214</v>
      </c>
      <c r="I116" s="6">
        <f>214/666</f>
        <v/>
      </c>
      <c r="J116" s="7" t="inlineStr">
        <is>
          <t>AAP</t>
        </is>
      </c>
      <c r="K116" s="5" t="n">
        <v>-59</v>
      </c>
      <c r="L116" s="8">
        <f>I116-F116</f>
        <v/>
      </c>
      <c r="M116" s="5" t="n">
        <v>159</v>
      </c>
      <c r="N116" s="5" t="n">
        <v>666</v>
      </c>
    </row>
    <row r="117" ht="20" customHeight="1">
      <c r="A117" s="9" t="n">
        <v>116</v>
      </c>
      <c r="B117" s="10" t="inlineStr">
        <is>
          <t>Munan Kalan</t>
        </is>
      </c>
      <c r="C117" s="10" t="inlineStr">
        <is>
          <t>ਮੰਨਣ ਕਲਾਂ</t>
        </is>
      </c>
      <c r="D117" s="18" t="inlineStr">
        <is>
          <t>Lost in 2024 (to AAP)</t>
        </is>
      </c>
      <c r="E117" s="12" t="n">
        <v>155</v>
      </c>
      <c r="F117" s="13">
        <f>155/371</f>
        <v/>
      </c>
      <c r="G117" s="14" t="inlineStr">
        <is>
          <t>INC</t>
        </is>
      </c>
      <c r="H117" s="12" t="n">
        <v>81</v>
      </c>
      <c r="I117" s="13">
        <f>81/368</f>
        <v/>
      </c>
      <c r="J117" s="14" t="inlineStr">
        <is>
          <t>AAP</t>
        </is>
      </c>
      <c r="K117" s="12" t="n">
        <v>-74</v>
      </c>
      <c r="L117" s="15">
        <f>I117-F117</f>
        <v/>
      </c>
      <c r="M117" s="12" t="n">
        <v>143</v>
      </c>
      <c r="N117" s="12" t="n">
        <v>368</v>
      </c>
    </row>
    <row r="118" ht="20" customHeight="1">
      <c r="A118" s="2" t="n">
        <v>117</v>
      </c>
      <c r="B118" s="3" t="inlineStr">
        <is>
          <t>Bujarh</t>
        </is>
      </c>
      <c r="C118" s="3" t="inlineStr">
        <is>
          <t>ਬੁਜਾੜ</t>
        </is>
      </c>
      <c r="D118" s="18" t="inlineStr">
        <is>
          <t>Lost in 2024 (to AAP)</t>
        </is>
      </c>
      <c r="E118" s="5" t="n">
        <v>138</v>
      </c>
      <c r="F118" s="6">
        <f>138/313</f>
        <v/>
      </c>
      <c r="G118" s="7" t="inlineStr">
        <is>
          <t>INC</t>
        </is>
      </c>
      <c r="H118" s="5" t="n">
        <v>96</v>
      </c>
      <c r="I118" s="6">
        <f>96/280</f>
        <v/>
      </c>
      <c r="J118" s="7" t="inlineStr">
        <is>
          <t>AAP</t>
        </is>
      </c>
      <c r="K118" s="5" t="n">
        <v>-42</v>
      </c>
      <c r="L118" s="8">
        <f>I118-F118</f>
        <v/>
      </c>
      <c r="M118" s="5" t="n">
        <v>2</v>
      </c>
      <c r="N118" s="5" t="n">
        <v>280</v>
      </c>
    </row>
    <row r="119" ht="20" customHeight="1">
      <c r="A119" s="9" t="n">
        <v>118</v>
      </c>
      <c r="B119" s="10" t="inlineStr">
        <is>
          <t>Baruhia Molian, Piro Nangal, Sarwarpur, Bhulripur, Bhum</t>
        </is>
      </c>
      <c r="C119" s="10" t="inlineStr">
        <is>
          <t>ਬਰੂਹੀਆ ਮੋਲੀਆਂ, ਪੀਰੋ ਨੰਗਲ, ਸਰਵਰਪੁਰ, ਭੁਲੜੀਪੁਰ, ਭੂਮ</t>
        </is>
      </c>
      <c r="D119" s="11" t="inlineStr">
        <is>
          <t>Won Both Times (Stronghold)</t>
        </is>
      </c>
      <c r="E119" s="12" t="n">
        <v>297</v>
      </c>
      <c r="F119" s="13">
        <f>297/643</f>
        <v/>
      </c>
      <c r="G119" s="14" t="inlineStr">
        <is>
          <t>INC</t>
        </is>
      </c>
      <c r="H119" s="12" t="n">
        <v>258</v>
      </c>
      <c r="I119" s="13">
        <f>258/557</f>
        <v/>
      </c>
      <c r="J119" s="14" t="inlineStr">
        <is>
          <t>INC</t>
        </is>
      </c>
      <c r="K119" s="12" t="n">
        <v>-39</v>
      </c>
      <c r="L119" s="15">
        <f>I119-F119</f>
        <v/>
      </c>
      <c r="M119" s="12" t="n">
        <v>117</v>
      </c>
      <c r="N119" s="12" t="n">
        <v>557</v>
      </c>
    </row>
    <row r="120" ht="20" customHeight="1">
      <c r="A120" s="2" t="n">
        <v>119</v>
      </c>
      <c r="B120" s="3" t="inlineStr">
        <is>
          <t>Chak Sharif</t>
        </is>
      </c>
      <c r="C120" s="3" t="inlineStr">
        <is>
          <t>ਚੱਕ ਸਰੀਫ</t>
        </is>
      </c>
      <c r="D120" s="16" t="inlineStr">
        <is>
          <t>Lost Both Times (Deficit)</t>
        </is>
      </c>
      <c r="E120" s="5" t="n">
        <v>149</v>
      </c>
      <c r="F120" s="6">
        <f>149/580</f>
        <v/>
      </c>
      <c r="G120" s="7" t="inlineStr">
        <is>
          <t>AAP</t>
        </is>
      </c>
      <c r="H120" s="5" t="n">
        <v>133</v>
      </c>
      <c r="I120" s="6">
        <f>133/542</f>
        <v/>
      </c>
      <c r="J120" s="7" t="inlineStr">
        <is>
          <t>AAP</t>
        </is>
      </c>
      <c r="K120" s="5" t="n">
        <v>-16</v>
      </c>
      <c r="L120" s="8">
        <f>I120-F120</f>
        <v/>
      </c>
      <c r="M120" s="5" t="n">
        <v>141</v>
      </c>
      <c r="N120" s="5" t="n">
        <v>542</v>
      </c>
    </row>
    <row r="121" ht="20" customHeight="1">
      <c r="A121" s="9" t="n">
        <v>120</v>
      </c>
      <c r="B121" s="10" t="inlineStr">
        <is>
          <t>Chak Sharif</t>
        </is>
      </c>
      <c r="C121" s="10" t="inlineStr">
        <is>
          <t>ਚੱਕ ਸਰੀਫ</t>
        </is>
      </c>
      <c r="D121" s="18" t="inlineStr">
        <is>
          <t>Lost in 2024 (to AAP)</t>
        </is>
      </c>
      <c r="E121" s="12" t="n">
        <v>179</v>
      </c>
      <c r="F121" s="13">
        <f>179/559</f>
        <v/>
      </c>
      <c r="G121" s="14" t="inlineStr">
        <is>
          <t>INC</t>
        </is>
      </c>
      <c r="H121" s="12" t="n">
        <v>156</v>
      </c>
      <c r="I121" s="13">
        <f>156/494</f>
        <v/>
      </c>
      <c r="J121" s="14" t="inlineStr">
        <is>
          <t>AAP</t>
        </is>
      </c>
      <c r="K121" s="12" t="n">
        <v>-23</v>
      </c>
      <c r="L121" s="15">
        <f>I121-F121</f>
        <v/>
      </c>
      <c r="M121" s="12" t="n">
        <v>82</v>
      </c>
      <c r="N121" s="12" t="n">
        <v>494</v>
      </c>
    </row>
    <row r="122" ht="20" customHeight="1">
      <c r="A122" s="2" t="n">
        <v>121</v>
      </c>
      <c r="B122" s="3" t="inlineStr">
        <is>
          <t>Kotla Gujran, Jhanda Gujran</t>
        </is>
      </c>
      <c r="C122" s="3" t="inlineStr">
        <is>
          <t>ਕੋਟਲਾ ਗੁਜਰਾਂ, ਝੰਡਾ ਗੁਜਰਾਂ</t>
        </is>
      </c>
      <c r="D122" s="18" t="inlineStr">
        <is>
          <t>Lost in 2024 (to BJP)</t>
        </is>
      </c>
      <c r="E122" s="5" t="n">
        <v>168</v>
      </c>
      <c r="F122" s="6">
        <f>168/318</f>
        <v/>
      </c>
      <c r="G122" s="7" t="inlineStr">
        <is>
          <t>INC</t>
        </is>
      </c>
      <c r="H122" s="5" t="n">
        <v>53</v>
      </c>
      <c r="I122" s="6">
        <f>53/322</f>
        <v/>
      </c>
      <c r="J122" s="7" t="inlineStr">
        <is>
          <t>BJP</t>
        </is>
      </c>
      <c r="K122" s="5" t="n">
        <v>-115</v>
      </c>
      <c r="L122" s="8">
        <f>I122-F122</f>
        <v/>
      </c>
      <c r="M122" s="5" t="n">
        <v>92</v>
      </c>
      <c r="N122" s="5" t="n">
        <v>322</v>
      </c>
    </row>
    <row r="123" ht="20" customHeight="1">
      <c r="A123" s="9" t="n">
        <v>122</v>
      </c>
      <c r="B123" s="10" t="inlineStr">
        <is>
          <t>Sallopur</t>
        </is>
      </c>
      <c r="C123" s="10" t="inlineStr">
        <is>
          <t>ਸੱਲੋਪੁਰ</t>
        </is>
      </c>
      <c r="D123" s="11" t="inlineStr">
        <is>
          <t>Won Both Times (Stronghold)</t>
        </is>
      </c>
      <c r="E123" s="12" t="n">
        <v>238</v>
      </c>
      <c r="F123" s="13">
        <f>238/636</f>
        <v/>
      </c>
      <c r="G123" s="14" t="inlineStr">
        <is>
          <t>INC</t>
        </is>
      </c>
      <c r="H123" s="12" t="n">
        <v>242</v>
      </c>
      <c r="I123" s="13">
        <f>242/521</f>
        <v/>
      </c>
      <c r="J123" s="14" t="inlineStr">
        <is>
          <t>INC</t>
        </is>
      </c>
      <c r="K123" s="12" t="n">
        <v>4</v>
      </c>
      <c r="L123" s="15">
        <f>I123-F123</f>
        <v/>
      </c>
      <c r="M123" s="12" t="n">
        <v>82</v>
      </c>
      <c r="N123" s="12" t="n">
        <v>521</v>
      </c>
    </row>
    <row r="124" ht="20" customHeight="1">
      <c r="A124" s="2" t="n">
        <v>123</v>
      </c>
      <c r="B124" s="3" t="inlineStr">
        <is>
          <t>Sallopur</t>
        </is>
      </c>
      <c r="C124" s="3" t="inlineStr">
        <is>
          <t>ਸੱਲੋਪੁਰ</t>
        </is>
      </c>
      <c r="D124" s="18" t="inlineStr">
        <is>
          <t>Lost in 2024 (to AAP)</t>
        </is>
      </c>
      <c r="E124" s="5" t="n">
        <v>174</v>
      </c>
      <c r="F124" s="6">
        <f>174/333</f>
        <v/>
      </c>
      <c r="G124" s="7" t="inlineStr">
        <is>
          <t>INC</t>
        </is>
      </c>
      <c r="H124" s="5" t="n">
        <v>121</v>
      </c>
      <c r="I124" s="6">
        <f>121/340</f>
        <v/>
      </c>
      <c r="J124" s="7" t="inlineStr">
        <is>
          <t>AAP</t>
        </is>
      </c>
      <c r="K124" s="5" t="n">
        <v>-53</v>
      </c>
      <c r="L124" s="8">
        <f>I124-F124</f>
        <v/>
      </c>
      <c r="M124" s="5" t="n">
        <v>29</v>
      </c>
      <c r="N124" s="5" t="n">
        <v>340</v>
      </c>
    </row>
    <row r="125" ht="20" customHeight="1">
      <c r="A125" s="9" t="n">
        <v>124</v>
      </c>
      <c r="B125" s="10" t="inlineStr">
        <is>
          <t>Kotli Garhwan</t>
        </is>
      </c>
      <c r="C125" s="10" t="inlineStr">
        <is>
          <t>ਕੋਟਲੀ ਗਰਲਵਾਂ</t>
        </is>
      </c>
      <c r="D125" s="18" t="inlineStr">
        <is>
          <t>Lost in 2024 (to BJP)</t>
        </is>
      </c>
      <c r="E125" s="12" t="n">
        <v>122</v>
      </c>
      <c r="F125" s="13">
        <f>122/271</f>
        <v/>
      </c>
      <c r="G125" s="14" t="inlineStr">
        <is>
          <t>INC</t>
        </is>
      </c>
      <c r="H125" s="12" t="n">
        <v>69</v>
      </c>
      <c r="I125" s="13">
        <f>69/268</f>
        <v/>
      </c>
      <c r="J125" s="14" t="inlineStr">
        <is>
          <t>BJP</t>
        </is>
      </c>
      <c r="K125" s="12" t="n">
        <v>-53</v>
      </c>
      <c r="L125" s="15">
        <f>I125-F125</f>
        <v/>
      </c>
      <c r="M125" s="12" t="n">
        <v>46</v>
      </c>
      <c r="N125" s="12" t="n">
        <v>268</v>
      </c>
    </row>
    <row r="126" ht="20" customHeight="1">
      <c r="A126" s="2" t="n">
        <v>125</v>
      </c>
      <c r="B126" s="3" t="inlineStr">
        <is>
          <t>Chak Yakub</t>
        </is>
      </c>
      <c r="C126" s="3" t="inlineStr">
        <is>
          <t>ਚੱਕ ਯਾਕੂਬ</t>
        </is>
      </c>
      <c r="D126" s="18" t="inlineStr">
        <is>
          <t>Lost in 2024 (to AAP)</t>
        </is>
      </c>
      <c r="E126" s="5" t="n">
        <v>225</v>
      </c>
      <c r="F126" s="6">
        <f>225/474</f>
        <v/>
      </c>
      <c r="G126" s="7" t="inlineStr">
        <is>
          <t>INC</t>
        </is>
      </c>
      <c r="H126" s="5" t="n">
        <v>162</v>
      </c>
      <c r="I126" s="6">
        <f>162/451</f>
        <v/>
      </c>
      <c r="J126" s="7" t="inlineStr">
        <is>
          <t>AAP</t>
        </is>
      </c>
      <c r="K126" s="5" t="n">
        <v>-63</v>
      </c>
      <c r="L126" s="8">
        <f>I126-F126</f>
        <v/>
      </c>
      <c r="M126" s="5" t="n">
        <v>2</v>
      </c>
      <c r="N126" s="5" t="n">
        <v>451</v>
      </c>
    </row>
    <row r="127" ht="20" customHeight="1">
      <c r="A127" s="9" t="n">
        <v>126</v>
      </c>
      <c r="B127" s="10" t="inlineStr">
        <is>
          <t>Ladhupur</t>
        </is>
      </c>
      <c r="C127" s="10" t="inlineStr">
        <is>
          <t>ਲਾਧੂਪੁਰ</t>
        </is>
      </c>
      <c r="D127" s="16" t="inlineStr">
        <is>
          <t>Lost Both Times (Deficit)</t>
        </is>
      </c>
      <c r="E127" s="12" t="n">
        <v>168</v>
      </c>
      <c r="F127" s="13">
        <f>168/705</f>
        <v/>
      </c>
      <c r="G127" s="14" t="inlineStr">
        <is>
          <t>SAD</t>
        </is>
      </c>
      <c r="H127" s="12" t="n">
        <v>163</v>
      </c>
      <c r="I127" s="13">
        <f>163/642</f>
        <v/>
      </c>
      <c r="J127" s="14" t="inlineStr">
        <is>
          <t>AAP</t>
        </is>
      </c>
      <c r="K127" s="12" t="n">
        <v>-5</v>
      </c>
      <c r="L127" s="15">
        <f>I127-F127</f>
        <v/>
      </c>
      <c r="M127" s="12" t="n">
        <v>225</v>
      </c>
      <c r="N127" s="12" t="n">
        <v>642</v>
      </c>
    </row>
    <row r="128" ht="20" customHeight="1">
      <c r="A128" s="2" t="n">
        <v>127</v>
      </c>
      <c r="B128" s="3" t="inlineStr">
        <is>
          <t>Nainekot</t>
        </is>
      </c>
      <c r="C128" s="3" t="inlineStr">
        <is>
          <t>ਨੈਨੇਕੋਟ</t>
        </is>
      </c>
      <c r="D128" s="11" t="inlineStr">
        <is>
          <t>Won Both Times (Stronghold)</t>
        </is>
      </c>
      <c r="E128" s="5" t="n">
        <v>301</v>
      </c>
      <c r="F128" s="6">
        <f>301/754</f>
        <v/>
      </c>
      <c r="G128" s="7" t="inlineStr">
        <is>
          <t>INC</t>
        </is>
      </c>
      <c r="H128" s="5" t="n">
        <v>298</v>
      </c>
      <c r="I128" s="6">
        <f>298/706</f>
        <v/>
      </c>
      <c r="J128" s="7" t="inlineStr">
        <is>
          <t>INC</t>
        </is>
      </c>
      <c r="K128" s="5" t="n">
        <v>-3</v>
      </c>
      <c r="L128" s="8">
        <f>I128-F128</f>
        <v/>
      </c>
      <c r="M128" s="5" t="n">
        <v>98</v>
      </c>
      <c r="N128" s="5" t="n">
        <v>706</v>
      </c>
    </row>
    <row r="129" ht="20" customHeight="1">
      <c r="A129" s="9" t="n">
        <v>128</v>
      </c>
      <c r="B129" s="10" t="inlineStr">
        <is>
          <t>Dhesian</t>
        </is>
      </c>
      <c r="C129" s="10" t="inlineStr">
        <is>
          <t>ਢੇਸੀਆਂ</t>
        </is>
      </c>
      <c r="D129" s="11" t="inlineStr">
        <is>
          <t>Won Both Times (Stronghold)</t>
        </is>
      </c>
      <c r="E129" s="12" t="n">
        <v>171</v>
      </c>
      <c r="F129" s="13">
        <f>171/389</f>
        <v/>
      </c>
      <c r="G129" s="14" t="inlineStr">
        <is>
          <t>INC</t>
        </is>
      </c>
      <c r="H129" s="12" t="n">
        <v>165</v>
      </c>
      <c r="I129" s="13">
        <f>165/371</f>
        <v/>
      </c>
      <c r="J129" s="14" t="inlineStr">
        <is>
          <t>INC</t>
        </is>
      </c>
      <c r="K129" s="12" t="n">
        <v>-6</v>
      </c>
      <c r="L129" s="15">
        <f>I129-F129</f>
        <v/>
      </c>
      <c r="M129" s="12" t="n">
        <v>44</v>
      </c>
      <c r="N129" s="12" t="n">
        <v>371</v>
      </c>
    </row>
    <row r="130" ht="20" customHeight="1">
      <c r="A130" s="2" t="n">
        <v>129</v>
      </c>
      <c r="B130" s="3" t="inlineStr">
        <is>
          <t>Raowal</t>
        </is>
      </c>
      <c r="C130" s="3" t="inlineStr">
        <is>
          <t>ਰਾਓਵਾਲ</t>
        </is>
      </c>
      <c r="D130" s="18" t="inlineStr">
        <is>
          <t>Lost in 2024 (to AAP)</t>
        </is>
      </c>
      <c r="E130" s="5" t="n">
        <v>160</v>
      </c>
      <c r="F130" s="6">
        <f>160/343</f>
        <v/>
      </c>
      <c r="G130" s="7" t="inlineStr">
        <is>
          <t>INC</t>
        </is>
      </c>
      <c r="H130" s="5" t="n">
        <v>137</v>
      </c>
      <c r="I130" s="6">
        <f>137/347</f>
        <v/>
      </c>
      <c r="J130" s="7" t="inlineStr">
        <is>
          <t>AAP</t>
        </is>
      </c>
      <c r="K130" s="5" t="n">
        <v>-23</v>
      </c>
      <c r="L130" s="8">
        <f>I130-F130</f>
        <v/>
      </c>
      <c r="M130" s="5" t="n">
        <v>34</v>
      </c>
      <c r="N130" s="5" t="n">
        <v>347</v>
      </c>
    </row>
    <row r="131" ht="20" customHeight="1">
      <c r="A131" s="9" t="n">
        <v>130</v>
      </c>
      <c r="B131" s="10" t="inlineStr">
        <is>
          <t>Nimane</t>
        </is>
      </c>
      <c r="C131" s="10" t="inlineStr">
        <is>
          <t>ਨਿਮਾਣੇ</t>
        </is>
      </c>
      <c r="D131" s="16" t="inlineStr">
        <is>
          <t>Lost Both Times (Deficit)</t>
        </is>
      </c>
      <c r="E131" s="12" t="n">
        <v>147</v>
      </c>
      <c r="F131" s="13">
        <f>147/524</f>
        <v/>
      </c>
      <c r="G131" s="14" t="inlineStr">
        <is>
          <t>AAP</t>
        </is>
      </c>
      <c r="H131" s="12" t="n">
        <v>142</v>
      </c>
      <c r="I131" s="13">
        <f>142/478</f>
        <v/>
      </c>
      <c r="J131" s="14" t="inlineStr">
        <is>
          <t>AAP</t>
        </is>
      </c>
      <c r="K131" s="12" t="n">
        <v>-5</v>
      </c>
      <c r="L131" s="15">
        <f>I131-F131</f>
        <v/>
      </c>
      <c r="M131" s="12" t="n">
        <v>104</v>
      </c>
      <c r="N131" s="12" t="n">
        <v>478</v>
      </c>
    </row>
    <row r="132" ht="20" customHeight="1">
      <c r="A132" s="2" t="n">
        <v>131</v>
      </c>
      <c r="B132" s="3" t="inlineStr">
        <is>
          <t>Kot Dhandal</t>
        </is>
      </c>
      <c r="C132" s="3" t="inlineStr">
        <is>
          <t>ਕੋਟ ਧੰਦਲ</t>
        </is>
      </c>
      <c r="D132" s="18" t="inlineStr">
        <is>
          <t>Lost in 2024 (to AAP)</t>
        </is>
      </c>
      <c r="E132" s="5" t="n">
        <v>214</v>
      </c>
      <c r="F132" s="6">
        <f>214/668</f>
        <v/>
      </c>
      <c r="G132" s="7" t="inlineStr">
        <is>
          <t>INC</t>
        </is>
      </c>
      <c r="H132" s="5" t="n">
        <v>182</v>
      </c>
      <c r="I132" s="6">
        <f>182/578</f>
        <v/>
      </c>
      <c r="J132" s="7" t="inlineStr">
        <is>
          <t>AAP</t>
        </is>
      </c>
      <c r="K132" s="5" t="n">
        <v>-32</v>
      </c>
      <c r="L132" s="8">
        <f>I132-F132</f>
        <v/>
      </c>
      <c r="M132" s="5" t="n">
        <v>22</v>
      </c>
      <c r="N132" s="5" t="n">
        <v>578</v>
      </c>
    </row>
    <row r="133" ht="20" customHeight="1">
      <c r="A133" s="9" t="n">
        <v>132</v>
      </c>
      <c r="B133" s="10" t="inlineStr">
        <is>
          <t>Bhittewadd</t>
        </is>
      </c>
      <c r="C133" s="10" t="inlineStr">
        <is>
          <t>ਭਿਟੇਵੱਡ</t>
        </is>
      </c>
      <c r="D133" s="11" t="inlineStr">
        <is>
          <t>Won Both Times (Stronghold)</t>
        </is>
      </c>
      <c r="E133" s="12" t="n">
        <v>285</v>
      </c>
      <c r="F133" s="13">
        <f>285/446</f>
        <v/>
      </c>
      <c r="G133" s="14" t="inlineStr">
        <is>
          <t>INC</t>
        </is>
      </c>
      <c r="H133" s="12" t="n">
        <v>325</v>
      </c>
      <c r="I133" s="13">
        <f>325/408</f>
        <v/>
      </c>
      <c r="J133" s="14" t="inlineStr">
        <is>
          <t>INC</t>
        </is>
      </c>
      <c r="K133" s="12" t="n">
        <v>40</v>
      </c>
      <c r="L133" s="15">
        <f>I133-F133</f>
        <v/>
      </c>
      <c r="M133" s="12" t="n">
        <v>294</v>
      </c>
      <c r="N133" s="12" t="n">
        <v>408</v>
      </c>
    </row>
    <row r="134" ht="20" customHeight="1">
      <c r="A134" s="2" t="n">
        <v>133</v>
      </c>
      <c r="B134" s="3" t="inlineStr">
        <is>
          <t>Kot Todar Mal</t>
        </is>
      </c>
      <c r="C134" s="3" t="inlineStr">
        <is>
          <t>ਕੋਟ ਟੋਡਰ ਮੱਲ</t>
        </is>
      </c>
      <c r="D134" s="4" t="inlineStr">
        <is>
          <t>Gained in 2024 (New Win)</t>
        </is>
      </c>
      <c r="E134" s="5" t="n">
        <v>193</v>
      </c>
      <c r="F134" s="6">
        <f>193/560</f>
        <v/>
      </c>
      <c r="G134" s="7" t="inlineStr">
        <is>
          <t>AAP</t>
        </is>
      </c>
      <c r="H134" s="5" t="n">
        <v>219</v>
      </c>
      <c r="I134" s="6">
        <f>219/550</f>
        <v/>
      </c>
      <c r="J134" s="7" t="inlineStr">
        <is>
          <t>INC</t>
        </is>
      </c>
      <c r="K134" s="5" t="n">
        <v>26</v>
      </c>
      <c r="L134" s="8">
        <f>I134-F134</f>
        <v/>
      </c>
      <c r="M134" s="5" t="n">
        <v>59</v>
      </c>
      <c r="N134" s="5" t="n">
        <v>550</v>
      </c>
    </row>
    <row r="135" ht="20" customHeight="1">
      <c r="A135" s="9" t="n">
        <v>134</v>
      </c>
      <c r="B135" s="10" t="inlineStr">
        <is>
          <t>Kot Todar Mal</t>
        </is>
      </c>
      <c r="C135" s="10" t="inlineStr">
        <is>
          <t>ਕੋਟ ਟੋਡਰ ਮੱਲ</t>
        </is>
      </c>
      <c r="D135" s="11" t="inlineStr">
        <is>
          <t>Won Both Times (Stronghold)</t>
        </is>
      </c>
      <c r="E135" s="12" t="n">
        <v>180</v>
      </c>
      <c r="F135" s="13">
        <f>180/488</f>
        <v/>
      </c>
      <c r="G135" s="14" t="inlineStr">
        <is>
          <t>INC</t>
        </is>
      </c>
      <c r="H135" s="12" t="n">
        <v>209</v>
      </c>
      <c r="I135" s="13">
        <f>209/443</f>
        <v/>
      </c>
      <c r="J135" s="14" t="inlineStr">
        <is>
          <t>INC</t>
        </is>
      </c>
      <c r="K135" s="12" t="n">
        <v>29</v>
      </c>
      <c r="L135" s="15">
        <f>I135-F135</f>
        <v/>
      </c>
      <c r="M135" s="12" t="n">
        <v>105</v>
      </c>
      <c r="N135" s="12" t="n">
        <v>443</v>
      </c>
    </row>
    <row r="136" ht="20" customHeight="1">
      <c r="A136" s="2" t="n">
        <v>135</v>
      </c>
      <c r="B136" s="3" t="inlineStr">
        <is>
          <t>Rooda Buttar</t>
        </is>
      </c>
      <c r="C136" s="3" t="inlineStr">
        <is>
          <t>ਰੂੜਾ ਬੁੱਟਰ</t>
        </is>
      </c>
      <c r="D136" s="18" t="inlineStr">
        <is>
          <t>Lost in 2024 (to AAP)</t>
        </is>
      </c>
      <c r="E136" s="5" t="n">
        <v>238</v>
      </c>
      <c r="F136" s="6">
        <f>238/585</f>
        <v/>
      </c>
      <c r="G136" s="7" t="inlineStr">
        <is>
          <t>INC</t>
        </is>
      </c>
      <c r="H136" s="5" t="n">
        <v>131</v>
      </c>
      <c r="I136" s="6">
        <f>131/539</f>
        <v/>
      </c>
      <c r="J136" s="7" t="inlineStr">
        <is>
          <t>AAP</t>
        </is>
      </c>
      <c r="K136" s="5" t="n">
        <v>-107</v>
      </c>
      <c r="L136" s="8">
        <f>I136-F136</f>
        <v/>
      </c>
      <c r="M136" s="5" t="n">
        <v>87</v>
      </c>
      <c r="N136" s="5" t="n">
        <v>539</v>
      </c>
    </row>
    <row r="137" ht="20" customHeight="1">
      <c r="A137" s="9" t="n">
        <v>136</v>
      </c>
      <c r="B137" s="10" t="inlineStr">
        <is>
          <t>Malian</t>
        </is>
      </c>
      <c r="C137" s="10" t="inlineStr">
        <is>
          <t>ਮਾਲੀਆਂ</t>
        </is>
      </c>
      <c r="D137" s="11" t="inlineStr">
        <is>
          <t>Won Both Times (Stronghold)</t>
        </is>
      </c>
      <c r="E137" s="12" t="n">
        <v>278</v>
      </c>
      <c r="F137" s="13">
        <f>278/483</f>
        <v/>
      </c>
      <c r="G137" s="14" t="inlineStr">
        <is>
          <t>INC</t>
        </is>
      </c>
      <c r="H137" s="12" t="n">
        <v>236</v>
      </c>
      <c r="I137" s="13">
        <f>236/471</f>
        <v/>
      </c>
      <c r="J137" s="14" t="inlineStr">
        <is>
          <t>INC</t>
        </is>
      </c>
      <c r="K137" s="12" t="n">
        <v>-42</v>
      </c>
      <c r="L137" s="15">
        <f>I137-F137</f>
        <v/>
      </c>
      <c r="M137" s="12" t="n">
        <v>61</v>
      </c>
      <c r="N137" s="12" t="n">
        <v>471</v>
      </c>
    </row>
    <row r="138" ht="20" customHeight="1">
      <c r="A138" s="2" t="n">
        <v>137</v>
      </c>
      <c r="B138" s="3" t="inlineStr">
        <is>
          <t>Khara</t>
        </is>
      </c>
      <c r="C138" s="3" t="inlineStr">
        <is>
          <t>ਖਾਰਾ</t>
        </is>
      </c>
      <c r="D138" s="11" t="inlineStr">
        <is>
          <t>Won Both Times (Stronghold)</t>
        </is>
      </c>
      <c r="E138" s="5" t="n">
        <v>238</v>
      </c>
      <c r="F138" s="6">
        <f>238/544</f>
        <v/>
      </c>
      <c r="G138" s="7" t="inlineStr">
        <is>
          <t>INC</t>
        </is>
      </c>
      <c r="H138" s="5" t="n">
        <v>162</v>
      </c>
      <c r="I138" s="6">
        <f>162/463</f>
        <v/>
      </c>
      <c r="J138" s="7" t="inlineStr">
        <is>
          <t>INC</t>
        </is>
      </c>
      <c r="K138" s="5" t="n">
        <v>-76</v>
      </c>
      <c r="L138" s="8">
        <f>I138-F138</f>
        <v/>
      </c>
      <c r="M138" s="5" t="n">
        <v>28</v>
      </c>
      <c r="N138" s="5" t="n">
        <v>463</v>
      </c>
    </row>
    <row r="139" ht="20" customHeight="1">
      <c r="A139" s="9" t="n">
        <v>138</v>
      </c>
      <c r="B139" s="10" t="inlineStr">
        <is>
          <t>Waraich</t>
        </is>
      </c>
      <c r="C139" s="10" t="inlineStr">
        <is>
          <t>ਵੜੈਚ</t>
        </is>
      </c>
      <c r="D139" s="18" t="inlineStr">
        <is>
          <t>Lost in 2024 (to AAP)</t>
        </is>
      </c>
      <c r="E139" s="12" t="n">
        <v>266</v>
      </c>
      <c r="F139" s="13">
        <f>266/746</f>
        <v/>
      </c>
      <c r="G139" s="14" t="inlineStr">
        <is>
          <t>INC</t>
        </is>
      </c>
      <c r="H139" s="12" t="n">
        <v>274</v>
      </c>
      <c r="I139" s="13">
        <f>274/714</f>
        <v/>
      </c>
      <c r="J139" s="14" t="inlineStr">
        <is>
          <t>AAP</t>
        </is>
      </c>
      <c r="K139" s="12" t="n">
        <v>8</v>
      </c>
      <c r="L139" s="15">
        <f>I139-F139</f>
        <v/>
      </c>
      <c r="M139" s="12" t="n">
        <v>24</v>
      </c>
      <c r="N139" s="12" t="n">
        <v>714</v>
      </c>
    </row>
    <row r="140" ht="20" customHeight="1">
      <c r="A140" s="2" t="n">
        <v>139</v>
      </c>
      <c r="B140" s="3" t="inlineStr">
        <is>
          <t>Qadian Ward No. 4</t>
        </is>
      </c>
      <c r="C140" s="3" t="inlineStr">
        <is>
          <t>ਕਾਦੀਆਂ ਵਾਰਡ ਨੰ. 4</t>
        </is>
      </c>
      <c r="D140" s="4" t="inlineStr">
        <is>
          <t>Gained in 2024 (New Win)</t>
        </is>
      </c>
      <c r="E140" s="5" t="n">
        <v>141</v>
      </c>
      <c r="F140" s="6">
        <f>141/513</f>
        <v/>
      </c>
      <c r="G140" s="7" t="inlineStr">
        <is>
          <t>SAD</t>
        </is>
      </c>
      <c r="H140" s="5" t="n">
        <v>150</v>
      </c>
      <c r="I140" s="6">
        <f>150/399</f>
        <v/>
      </c>
      <c r="J140" s="7" t="inlineStr">
        <is>
          <t>INC</t>
        </is>
      </c>
      <c r="K140" s="5" t="n">
        <v>9</v>
      </c>
      <c r="L140" s="8">
        <f>I140-F140</f>
        <v/>
      </c>
      <c r="M140" s="5" t="n">
        <v>32</v>
      </c>
      <c r="N140" s="5" t="n">
        <v>399</v>
      </c>
    </row>
    <row r="141" ht="20" customHeight="1">
      <c r="A141" s="9" t="n">
        <v>140</v>
      </c>
      <c r="B141" s="10" t="inlineStr">
        <is>
          <t>Qadian Ward No. 2</t>
        </is>
      </c>
      <c r="C141" s="10" t="inlineStr">
        <is>
          <t>ਕਾਦੀਆਂ ਵਾਰਡ ਨੰ. 2</t>
        </is>
      </c>
      <c r="D141" s="11" t="inlineStr">
        <is>
          <t>Won Both Times (Stronghold)</t>
        </is>
      </c>
      <c r="E141" s="12" t="n">
        <v>256</v>
      </c>
      <c r="F141" s="13">
        <f>256/605</f>
        <v/>
      </c>
      <c r="G141" s="14" t="inlineStr">
        <is>
          <t>INC</t>
        </is>
      </c>
      <c r="H141" s="12" t="n">
        <v>250</v>
      </c>
      <c r="I141" s="13">
        <f>250/580</f>
        <v/>
      </c>
      <c r="J141" s="14" t="inlineStr">
        <is>
          <t>INC</t>
        </is>
      </c>
      <c r="K141" s="12" t="n">
        <v>-6</v>
      </c>
      <c r="L141" s="15">
        <f>I141-F141</f>
        <v/>
      </c>
      <c r="M141" s="12" t="n">
        <v>122</v>
      </c>
      <c r="N141" s="12" t="n">
        <v>580</v>
      </c>
    </row>
    <row r="142" ht="20" customHeight="1">
      <c r="A142" s="2" t="n">
        <v>141</v>
      </c>
      <c r="B142" s="3" t="inlineStr">
        <is>
          <t>Qadian Ward No. 2</t>
        </is>
      </c>
      <c r="C142" s="3" t="inlineStr">
        <is>
          <t>ਕਾਦੀਆਂ ਵਾਰਡ ਨੰ. 2</t>
        </is>
      </c>
      <c r="D142" s="11" t="inlineStr">
        <is>
          <t>Won Both Times (Stronghold)</t>
        </is>
      </c>
      <c r="E142" s="5" t="n">
        <v>221</v>
      </c>
      <c r="F142" s="6">
        <f>221/594</f>
        <v/>
      </c>
      <c r="G142" s="7" t="inlineStr">
        <is>
          <t>INC</t>
        </is>
      </c>
      <c r="H142" s="5" t="n">
        <v>188</v>
      </c>
      <c r="I142" s="6">
        <f>188/548</f>
        <v/>
      </c>
      <c r="J142" s="7" t="inlineStr">
        <is>
          <t>INC</t>
        </is>
      </c>
      <c r="K142" s="5" t="n">
        <v>-33</v>
      </c>
      <c r="L142" s="8">
        <f>I142-F142</f>
        <v/>
      </c>
      <c r="M142" s="5" t="n">
        <v>13</v>
      </c>
      <c r="N142" s="5" t="n">
        <v>548</v>
      </c>
    </row>
    <row r="143" ht="20" customHeight="1">
      <c r="A143" s="9" t="n">
        <v>142</v>
      </c>
      <c r="B143" s="10" t="inlineStr">
        <is>
          <t>Qadian Ward No. 1</t>
        </is>
      </c>
      <c r="C143" s="10" t="inlineStr">
        <is>
          <t>ਕਾਦੀਆਂ ਵਾਰਡ ਨੰ. 1</t>
        </is>
      </c>
      <c r="D143" s="16" t="inlineStr">
        <is>
          <t>Lost Both Times (Deficit)</t>
        </is>
      </c>
      <c r="E143" s="12" t="n">
        <v>180</v>
      </c>
      <c r="F143" s="13">
        <f>180/703</f>
        <v/>
      </c>
      <c r="G143" s="14" t="inlineStr">
        <is>
          <t>SAD</t>
        </is>
      </c>
      <c r="H143" s="12" t="n">
        <v>132</v>
      </c>
      <c r="I143" s="13">
        <f>132/628</f>
        <v/>
      </c>
      <c r="J143" s="14" t="inlineStr">
        <is>
          <t>AAP</t>
        </is>
      </c>
      <c r="K143" s="12" t="n">
        <v>-48</v>
      </c>
      <c r="L143" s="15">
        <f>I143-F143</f>
        <v/>
      </c>
      <c r="M143" s="12" t="n">
        <v>120</v>
      </c>
      <c r="N143" s="12" t="n">
        <v>628</v>
      </c>
    </row>
    <row r="144" ht="20" customHeight="1">
      <c r="A144" s="2" t="n">
        <v>143</v>
      </c>
      <c r="B144" s="3" t="inlineStr">
        <is>
          <t>Qadian Ward No. 7</t>
        </is>
      </c>
      <c r="C144" s="3" t="inlineStr">
        <is>
          <t>ਕਾਦੀਆਂ ਵਾਰਡ ਨੰ. 7</t>
        </is>
      </c>
      <c r="D144" s="17" t="inlineStr">
        <is>
          <t>Weak Booth (&lt; 20% Share)</t>
        </is>
      </c>
      <c r="E144" s="5" t="n">
        <v>138</v>
      </c>
      <c r="F144" s="6">
        <f>138/471</f>
        <v/>
      </c>
      <c r="G144" s="7" t="inlineStr">
        <is>
          <t>SAD</t>
        </is>
      </c>
      <c r="H144" s="5" t="n">
        <v>80</v>
      </c>
      <c r="I144" s="6">
        <f>80/443</f>
        <v/>
      </c>
      <c r="J144" s="7" t="inlineStr">
        <is>
          <t>BJP</t>
        </is>
      </c>
      <c r="K144" s="5" t="n">
        <v>-58</v>
      </c>
      <c r="L144" s="8">
        <f>I144-F144</f>
        <v/>
      </c>
      <c r="M144" s="5" t="n">
        <v>47</v>
      </c>
      <c r="N144" s="5" t="n">
        <v>443</v>
      </c>
    </row>
    <row r="145" ht="20" customHeight="1">
      <c r="A145" s="9" t="n">
        <v>144</v>
      </c>
      <c r="B145" s="10" t="inlineStr">
        <is>
          <t>Qadian Ward No. 8</t>
        </is>
      </c>
      <c r="C145" s="10" t="inlineStr">
        <is>
          <t>ਕਾਦੀਆਂ ਵਾਰਡ ਨੰ. 8</t>
        </is>
      </c>
      <c r="D145" s="18" t="inlineStr">
        <is>
          <t>Lost in 2024 (to AAP)</t>
        </is>
      </c>
      <c r="E145" s="12" t="n">
        <v>496</v>
      </c>
      <c r="F145" s="13">
        <f>496/825</f>
        <v/>
      </c>
      <c r="G145" s="14" t="inlineStr">
        <is>
          <t>INC</t>
        </is>
      </c>
      <c r="H145" s="12" t="n">
        <v>78</v>
      </c>
      <c r="I145" s="13">
        <f>78/815</f>
        <v/>
      </c>
      <c r="J145" s="14" t="inlineStr">
        <is>
          <t>AAP</t>
        </is>
      </c>
      <c r="K145" s="12" t="n">
        <v>-418</v>
      </c>
      <c r="L145" s="15">
        <f>I145-F145</f>
        <v/>
      </c>
      <c r="M145" s="12" t="n">
        <v>622</v>
      </c>
      <c r="N145" s="12" t="n">
        <v>815</v>
      </c>
    </row>
    <row r="146" ht="20" customHeight="1">
      <c r="A146" s="2" t="n">
        <v>145</v>
      </c>
      <c r="B146" s="3" t="inlineStr">
        <is>
          <t>Qadian Civil Lines</t>
        </is>
      </c>
      <c r="C146" s="3" t="inlineStr">
        <is>
          <t>ਕਾਦੀਆਂ ਸਿਵਲ ਲਾਈਨ</t>
        </is>
      </c>
      <c r="D146" s="17" t="inlineStr">
        <is>
          <t>Weak Booth (&lt; 20% Share)</t>
        </is>
      </c>
      <c r="E146" s="5" t="n">
        <v>169</v>
      </c>
      <c r="F146" s="6">
        <f>169/663</f>
        <v/>
      </c>
      <c r="G146" s="7" t="inlineStr">
        <is>
          <t>AAP</t>
        </is>
      </c>
      <c r="H146" s="5" t="n">
        <v>96</v>
      </c>
      <c r="I146" s="6">
        <f>96/551</f>
        <v/>
      </c>
      <c r="J146" s="7" t="inlineStr">
        <is>
          <t>AAP</t>
        </is>
      </c>
      <c r="K146" s="5" t="n">
        <v>-73</v>
      </c>
      <c r="L146" s="8">
        <f>I146-F146</f>
        <v/>
      </c>
      <c r="M146" s="5" t="n">
        <v>102</v>
      </c>
      <c r="N146" s="5" t="n">
        <v>551</v>
      </c>
    </row>
    <row r="147" ht="20" customHeight="1">
      <c r="A147" s="9" t="n">
        <v>146</v>
      </c>
      <c r="B147" s="10" t="inlineStr">
        <is>
          <t>Qadian Ward No. 6</t>
        </is>
      </c>
      <c r="C147" s="10" t="inlineStr">
        <is>
          <t>ਕਾਦੀਆਂ ਵਾਰਡ ਨੰ. 6</t>
        </is>
      </c>
      <c r="D147" s="17" t="inlineStr">
        <is>
          <t>Weak Booth (&lt; 20% Share)</t>
        </is>
      </c>
      <c r="E147" s="12" t="n">
        <v>110</v>
      </c>
      <c r="F147" s="13">
        <f>110/414</f>
        <v/>
      </c>
      <c r="G147" s="14" t="inlineStr">
        <is>
          <t>AAP</t>
        </is>
      </c>
      <c r="H147" s="12" t="n">
        <v>71</v>
      </c>
      <c r="I147" s="13">
        <f>71/366</f>
        <v/>
      </c>
      <c r="J147" s="14" t="inlineStr">
        <is>
          <t>BJP</t>
        </is>
      </c>
      <c r="K147" s="12" t="n">
        <v>-39</v>
      </c>
      <c r="L147" s="15">
        <f>I147-F147</f>
        <v/>
      </c>
      <c r="M147" s="12" t="n">
        <v>22</v>
      </c>
      <c r="N147" s="12" t="n">
        <v>366</v>
      </c>
    </row>
    <row r="148" ht="20" customHeight="1">
      <c r="A148" s="2" t="n">
        <v>147</v>
      </c>
      <c r="B148" s="3" t="inlineStr">
        <is>
          <t>Qadian Ward No. 5</t>
        </is>
      </c>
      <c r="C148" s="3" t="inlineStr">
        <is>
          <t>ਕਾਦੀਆਂ ਵਾਰਡ ਨੰ. 5</t>
        </is>
      </c>
      <c r="D148" s="11" t="inlineStr">
        <is>
          <t>Won Both Times (Stronghold)</t>
        </is>
      </c>
      <c r="E148" s="5" t="n">
        <v>176</v>
      </c>
      <c r="F148" s="6">
        <f>176/434</f>
        <v/>
      </c>
      <c r="G148" s="7" t="inlineStr">
        <is>
          <t>INC</t>
        </is>
      </c>
      <c r="H148" s="5" t="n">
        <v>193</v>
      </c>
      <c r="I148" s="6">
        <f>193/407</f>
        <v/>
      </c>
      <c r="J148" s="7" t="inlineStr">
        <is>
          <t>INC</t>
        </is>
      </c>
      <c r="K148" s="5" t="n">
        <v>17</v>
      </c>
      <c r="L148" s="8">
        <f>I148-F148</f>
        <v/>
      </c>
      <c r="M148" s="5" t="n">
        <v>100</v>
      </c>
      <c r="N148" s="5" t="n">
        <v>407</v>
      </c>
    </row>
    <row r="149" ht="20" customHeight="1">
      <c r="A149" s="9" t="n">
        <v>148</v>
      </c>
      <c r="B149" s="10" t="inlineStr">
        <is>
          <t>Qadian Ward No. 5</t>
        </is>
      </c>
      <c r="C149" s="10" t="inlineStr">
        <is>
          <t>ਕਾਦੀਆਂ ਵਾਰਡ ਨੰ. 5</t>
        </is>
      </c>
      <c r="D149" s="11" t="inlineStr">
        <is>
          <t>Won Both Times (Stronghold)</t>
        </is>
      </c>
      <c r="E149" s="12" t="n">
        <v>185</v>
      </c>
      <c r="F149" s="13">
        <f>185/500</f>
        <v/>
      </c>
      <c r="G149" s="14" t="inlineStr">
        <is>
          <t>INC</t>
        </is>
      </c>
      <c r="H149" s="12" t="n">
        <v>185</v>
      </c>
      <c r="I149" s="13">
        <f>185/445</f>
        <v/>
      </c>
      <c r="J149" s="14" t="inlineStr">
        <is>
          <t>INC</t>
        </is>
      </c>
      <c r="K149" s="12" t="n">
        <v>0</v>
      </c>
      <c r="L149" s="15">
        <f>I149-F149</f>
        <v/>
      </c>
      <c r="M149" s="12" t="n">
        <v>72</v>
      </c>
      <c r="N149" s="12" t="n">
        <v>445</v>
      </c>
    </row>
    <row r="150" ht="20" customHeight="1">
      <c r="A150" s="2" t="n">
        <v>149</v>
      </c>
      <c r="B150" s="3" t="inlineStr">
        <is>
          <t>Qadian Ward No. 11</t>
        </is>
      </c>
      <c r="C150" s="3" t="inlineStr">
        <is>
          <t>ਕਾਦੀਆਂ ਵਾਰਡ ਨੰ. 11</t>
        </is>
      </c>
      <c r="D150" s="11" t="inlineStr">
        <is>
          <t>Won Both Times (Stronghold)</t>
        </is>
      </c>
      <c r="E150" s="5" t="n">
        <v>346</v>
      </c>
      <c r="F150" s="6">
        <f>346/799</f>
        <v/>
      </c>
      <c r="G150" s="7" t="inlineStr">
        <is>
          <t>INC</t>
        </is>
      </c>
      <c r="H150" s="5" t="n">
        <v>261</v>
      </c>
      <c r="I150" s="6">
        <f>261/717</f>
        <v/>
      </c>
      <c r="J150" s="7" t="inlineStr">
        <is>
          <t>INC</t>
        </is>
      </c>
      <c r="K150" s="5" t="n">
        <v>-85</v>
      </c>
      <c r="L150" s="8">
        <f>I150-F150</f>
        <v/>
      </c>
      <c r="M150" s="5" t="n">
        <v>56</v>
      </c>
      <c r="N150" s="5" t="n">
        <v>717</v>
      </c>
    </row>
    <row r="151" ht="20" customHeight="1">
      <c r="A151" s="9" t="n">
        <v>150</v>
      </c>
      <c r="B151" s="10" t="inlineStr">
        <is>
          <t>Qadian Ward No. 10</t>
        </is>
      </c>
      <c r="C151" s="10" t="inlineStr">
        <is>
          <t>ਕਾਦੀਆਂ ਵਾਰਡ ਨੰ. 10</t>
        </is>
      </c>
      <c r="D151" s="18" t="inlineStr">
        <is>
          <t>Lost in 2024 (to AAP)</t>
        </is>
      </c>
      <c r="E151" s="12" t="n">
        <v>290</v>
      </c>
      <c r="F151" s="13">
        <f>290/778</f>
        <v/>
      </c>
      <c r="G151" s="14" t="inlineStr">
        <is>
          <t>INC</t>
        </is>
      </c>
      <c r="H151" s="12" t="n">
        <v>204</v>
      </c>
      <c r="I151" s="13">
        <f>204/721</f>
        <v/>
      </c>
      <c r="J151" s="14" t="inlineStr">
        <is>
          <t>AAP</t>
        </is>
      </c>
      <c r="K151" s="12" t="n">
        <v>-86</v>
      </c>
      <c r="L151" s="15">
        <f>I151-F151</f>
        <v/>
      </c>
      <c r="M151" s="12" t="n">
        <v>34</v>
      </c>
      <c r="N151" s="12" t="n">
        <v>721</v>
      </c>
    </row>
    <row r="152" ht="20" customHeight="1">
      <c r="A152" s="2" t="n">
        <v>151</v>
      </c>
      <c r="B152" s="3" t="inlineStr">
        <is>
          <t>Qadian Ward No. 12</t>
        </is>
      </c>
      <c r="C152" s="3" t="inlineStr">
        <is>
          <t>ਕਾਦੀਆਂ ਵਾਰਡ ਨੰ. 12</t>
        </is>
      </c>
      <c r="D152" s="18" t="inlineStr">
        <is>
          <t>Lost in 2024 (to BJP)</t>
        </is>
      </c>
      <c r="E152" s="5" t="n">
        <v>346</v>
      </c>
      <c r="F152" s="6">
        <f>346/840</f>
        <v/>
      </c>
      <c r="G152" s="7" t="inlineStr">
        <is>
          <t>INC</t>
        </is>
      </c>
      <c r="H152" s="5" t="n">
        <v>167</v>
      </c>
      <c r="I152" s="6">
        <f>167/726</f>
        <v/>
      </c>
      <c r="J152" s="7" t="inlineStr">
        <is>
          <t>BJP</t>
        </is>
      </c>
      <c r="K152" s="5" t="n">
        <v>-179</v>
      </c>
      <c r="L152" s="8">
        <f>I152-F152</f>
        <v/>
      </c>
      <c r="M152" s="5" t="n">
        <v>53</v>
      </c>
      <c r="N152" s="5" t="n">
        <v>726</v>
      </c>
    </row>
    <row r="153" ht="20" customHeight="1">
      <c r="A153" s="9" t="n">
        <v>152</v>
      </c>
      <c r="B153" s="10" t="inlineStr">
        <is>
          <t>Qadian Ward No. 9</t>
        </is>
      </c>
      <c r="C153" s="10" t="inlineStr">
        <is>
          <t>ਕਾਦੀਆਂ ਵਾਰਡ ਨੰ. 9</t>
        </is>
      </c>
      <c r="D153" s="18" t="inlineStr">
        <is>
          <t>Lost in 2024 (to BJP)</t>
        </is>
      </c>
      <c r="E153" s="12" t="n">
        <v>334</v>
      </c>
      <c r="F153" s="13">
        <f>334/796</f>
        <v/>
      </c>
      <c r="G153" s="14" t="inlineStr">
        <is>
          <t>INC</t>
        </is>
      </c>
      <c r="H153" s="12" t="n">
        <v>151</v>
      </c>
      <c r="I153" s="13">
        <f>151/736</f>
        <v/>
      </c>
      <c r="J153" s="14" t="inlineStr">
        <is>
          <t>BJP</t>
        </is>
      </c>
      <c r="K153" s="12" t="n">
        <v>-183</v>
      </c>
      <c r="L153" s="15">
        <f>I153-F153</f>
        <v/>
      </c>
      <c r="M153" s="12" t="n">
        <v>262</v>
      </c>
      <c r="N153" s="12" t="n">
        <v>736</v>
      </c>
    </row>
    <row r="154" ht="20" customHeight="1">
      <c r="A154" s="2" t="n">
        <v>153</v>
      </c>
      <c r="B154" s="3" t="inlineStr">
        <is>
          <t>Qadian Ward No. 13</t>
        </is>
      </c>
      <c r="C154" s="3" t="inlineStr">
        <is>
          <t>ਕਾਦੀਆਂ ਵਾਰਡ ਨੰ. 13</t>
        </is>
      </c>
      <c r="D154" s="18" t="inlineStr">
        <is>
          <t>Lost in 2024 (to BJP)</t>
        </is>
      </c>
      <c r="E154" s="5" t="n">
        <v>250</v>
      </c>
      <c r="F154" s="6">
        <f>250/661</f>
        <v/>
      </c>
      <c r="G154" s="7" t="inlineStr">
        <is>
          <t>INC</t>
        </is>
      </c>
      <c r="H154" s="5" t="n">
        <v>130</v>
      </c>
      <c r="I154" s="6">
        <f>130/605</f>
        <v/>
      </c>
      <c r="J154" s="7" t="inlineStr">
        <is>
          <t>BJP</t>
        </is>
      </c>
      <c r="K154" s="5" t="n">
        <v>-120</v>
      </c>
      <c r="L154" s="8">
        <f>I154-F154</f>
        <v/>
      </c>
      <c r="M154" s="5" t="n">
        <v>107</v>
      </c>
      <c r="N154" s="5" t="n">
        <v>605</v>
      </c>
    </row>
    <row r="155" ht="20" customHeight="1">
      <c r="A155" s="9" t="n">
        <v>154</v>
      </c>
      <c r="B155" s="10" t="inlineStr">
        <is>
          <t>Qadian Ward No. 15</t>
        </is>
      </c>
      <c r="C155" s="10" t="inlineStr">
        <is>
          <t>ਕਾਦੀਆਂ ਵਾਰਡ ਨੰ. 15</t>
        </is>
      </c>
      <c r="D155" s="11" t="inlineStr">
        <is>
          <t>Won Both Times (Stronghold)</t>
        </is>
      </c>
      <c r="E155" s="12" t="n">
        <v>413</v>
      </c>
      <c r="F155" s="13">
        <f>413/692</f>
        <v/>
      </c>
      <c r="G155" s="14" t="inlineStr">
        <is>
          <t>INC</t>
        </is>
      </c>
      <c r="H155" s="12" t="n">
        <v>290</v>
      </c>
      <c r="I155" s="13">
        <f>290/601</f>
        <v/>
      </c>
      <c r="J155" s="14" t="inlineStr">
        <is>
          <t>INC</t>
        </is>
      </c>
      <c r="K155" s="12" t="n">
        <v>-123</v>
      </c>
      <c r="L155" s="15">
        <f>I155-F155</f>
        <v/>
      </c>
      <c r="M155" s="12" t="n">
        <v>176</v>
      </c>
      <c r="N155" s="12" t="n">
        <v>601</v>
      </c>
    </row>
    <row r="156" ht="20" customHeight="1">
      <c r="A156" s="2" t="n">
        <v>155</v>
      </c>
      <c r="B156" s="3" t="inlineStr">
        <is>
          <t>Qadian Ward No. 14</t>
        </is>
      </c>
      <c r="C156" s="3" t="inlineStr">
        <is>
          <t>ਕਾਦੀਆਂ ਵਾਰਡ ਨੰ. 14</t>
        </is>
      </c>
      <c r="D156" s="18" t="inlineStr">
        <is>
          <t>Lost in 2024 (to BJP)</t>
        </is>
      </c>
      <c r="E156" s="5" t="n">
        <v>379</v>
      </c>
      <c r="F156" s="6">
        <f>379/792</f>
        <v/>
      </c>
      <c r="G156" s="7" t="inlineStr">
        <is>
          <t>INC</t>
        </is>
      </c>
      <c r="H156" s="5" t="n">
        <v>200</v>
      </c>
      <c r="I156" s="6">
        <f>200/722</f>
        <v/>
      </c>
      <c r="J156" s="7" t="inlineStr">
        <is>
          <t>BJP</t>
        </is>
      </c>
      <c r="K156" s="5" t="n">
        <v>-179</v>
      </c>
      <c r="L156" s="8">
        <f>I156-F156</f>
        <v/>
      </c>
      <c r="M156" s="5" t="n">
        <v>2</v>
      </c>
      <c r="N156" s="5" t="n">
        <v>722</v>
      </c>
    </row>
    <row r="157" ht="20" customHeight="1">
      <c r="A157" s="9" t="n">
        <v>156</v>
      </c>
      <c r="B157" s="10" t="inlineStr">
        <is>
          <t>Qadian Ward No. 3</t>
        </is>
      </c>
      <c r="C157" s="10" t="inlineStr">
        <is>
          <t>ਕਾਦੀਆਂ ਵਾਰਡ ਨੰ. 3</t>
        </is>
      </c>
      <c r="D157" s="16" t="inlineStr">
        <is>
          <t>Lost Both Times (Deficit)</t>
        </is>
      </c>
      <c r="E157" s="12" t="n">
        <v>200</v>
      </c>
      <c r="F157" s="13">
        <f>200/632</f>
        <v/>
      </c>
      <c r="G157" s="14" t="inlineStr">
        <is>
          <t>SAD</t>
        </is>
      </c>
      <c r="H157" s="12" t="n">
        <v>195</v>
      </c>
      <c r="I157" s="13">
        <f>195/557</f>
        <v/>
      </c>
      <c r="J157" s="14" t="inlineStr">
        <is>
          <t>AAP</t>
        </is>
      </c>
      <c r="K157" s="12" t="n">
        <v>-5</v>
      </c>
      <c r="L157" s="15">
        <f>I157-F157</f>
        <v/>
      </c>
      <c r="M157" s="12" t="n">
        <v>6</v>
      </c>
      <c r="N157" s="12" t="n">
        <v>557</v>
      </c>
    </row>
    <row r="158" ht="20" customHeight="1">
      <c r="A158" s="2" t="n">
        <v>157</v>
      </c>
      <c r="B158" s="3" t="inlineStr">
        <is>
          <t>Nathpur</t>
        </is>
      </c>
      <c r="C158" s="3" t="inlineStr">
        <is>
          <t>ਨਾਥਪੁਰ</t>
        </is>
      </c>
      <c r="D158" s="4" t="inlineStr">
        <is>
          <t>Gained in 2024 (New Win)</t>
        </is>
      </c>
      <c r="E158" s="5" t="n">
        <v>309</v>
      </c>
      <c r="F158" s="6">
        <f>309/867</f>
        <v/>
      </c>
      <c r="G158" s="7" t="inlineStr">
        <is>
          <t>AAP</t>
        </is>
      </c>
      <c r="H158" s="5" t="n">
        <v>309</v>
      </c>
      <c r="I158" s="6">
        <f>309/856</f>
        <v/>
      </c>
      <c r="J158" s="7" t="inlineStr">
        <is>
          <t>INC</t>
        </is>
      </c>
      <c r="K158" s="5" t="n">
        <v>0</v>
      </c>
      <c r="L158" s="8">
        <f>I158-F158</f>
        <v/>
      </c>
      <c r="M158" s="5" t="n">
        <v>85</v>
      </c>
      <c r="N158" s="5" t="n">
        <v>856</v>
      </c>
    </row>
    <row r="159" ht="20" customHeight="1">
      <c r="A159" s="9" t="n">
        <v>158</v>
      </c>
      <c r="B159" s="10" t="inlineStr">
        <is>
          <t>Bhagatpura Rathwala</t>
        </is>
      </c>
      <c r="C159" s="10" t="inlineStr">
        <is>
          <t>ਭਗਤਪੁਰਾ ਰੱਥਵਾਲਾ</t>
        </is>
      </c>
      <c r="D159" s="4" t="inlineStr">
        <is>
          <t>Gained in 2024 (New Win)</t>
        </is>
      </c>
      <c r="E159" s="12" t="n">
        <v>131</v>
      </c>
      <c r="F159" s="13">
        <f>131/484</f>
        <v/>
      </c>
      <c r="G159" s="14" t="inlineStr">
        <is>
          <t>SAD</t>
        </is>
      </c>
      <c r="H159" s="12" t="n">
        <v>191</v>
      </c>
      <c r="I159" s="13">
        <f>191/443</f>
        <v/>
      </c>
      <c r="J159" s="14" t="inlineStr">
        <is>
          <t>INC</t>
        </is>
      </c>
      <c r="K159" s="12" t="n">
        <v>60</v>
      </c>
      <c r="L159" s="15">
        <f>I159-F159</f>
        <v/>
      </c>
      <c r="M159" s="12" t="n">
        <v>56</v>
      </c>
      <c r="N159" s="12" t="n">
        <v>443</v>
      </c>
    </row>
    <row r="160" ht="20" customHeight="1">
      <c r="A160" s="2" t="n">
        <v>159</v>
      </c>
      <c r="B160" s="3" t="inlineStr">
        <is>
          <t>Nangal Baghbana</t>
        </is>
      </c>
      <c r="C160" s="3" t="inlineStr">
        <is>
          <t>ਨੰਗਲ ਬਾਗਬਾਨਾ</t>
        </is>
      </c>
      <c r="D160" s="18" t="inlineStr">
        <is>
          <t>Lost in 2024 (to AAP)</t>
        </is>
      </c>
      <c r="E160" s="5" t="n">
        <v>250</v>
      </c>
      <c r="F160" s="6">
        <f>250/483</f>
        <v/>
      </c>
      <c r="G160" s="7" t="inlineStr">
        <is>
          <t>INC</t>
        </is>
      </c>
      <c r="H160" s="5" t="n">
        <v>98</v>
      </c>
      <c r="I160" s="6">
        <f>98/438</f>
        <v/>
      </c>
      <c r="J160" s="7" t="inlineStr">
        <is>
          <t>AAP</t>
        </is>
      </c>
      <c r="K160" s="5" t="n">
        <v>-152</v>
      </c>
      <c r="L160" s="8">
        <f>I160-F160</f>
        <v/>
      </c>
      <c r="M160" s="5" t="n">
        <v>175</v>
      </c>
      <c r="N160" s="5" t="n">
        <v>438</v>
      </c>
    </row>
    <row r="161" ht="20" customHeight="1">
      <c r="A161" s="9" t="n">
        <v>160</v>
      </c>
      <c r="B161" s="10" t="inlineStr">
        <is>
          <t>Chhota Nangal</t>
        </is>
      </c>
      <c r="C161" s="10" t="inlineStr">
        <is>
          <t>ਛੋਟਾ ਨੰਗਲ</t>
        </is>
      </c>
      <c r="D161" s="18" t="inlineStr">
        <is>
          <t>Lost in 2024 (to AAP)</t>
        </is>
      </c>
      <c r="E161" s="12" t="n">
        <v>134</v>
      </c>
      <c r="F161" s="13">
        <f>134/312</f>
        <v/>
      </c>
      <c r="G161" s="14" t="inlineStr">
        <is>
          <t>INC</t>
        </is>
      </c>
      <c r="H161" s="12" t="n">
        <v>113</v>
      </c>
      <c r="I161" s="13">
        <f>113/342</f>
        <v/>
      </c>
      <c r="J161" s="14" t="inlineStr">
        <is>
          <t>AAP</t>
        </is>
      </c>
      <c r="K161" s="12" t="n">
        <v>-21</v>
      </c>
      <c r="L161" s="15">
        <f>I161-F161</f>
        <v/>
      </c>
      <c r="M161" s="12" t="n">
        <v>7</v>
      </c>
      <c r="N161" s="12" t="n">
        <v>342</v>
      </c>
    </row>
    <row r="162" ht="20" customHeight="1">
      <c r="A162" s="2" t="n">
        <v>161</v>
      </c>
      <c r="B162" s="3" t="inlineStr">
        <is>
          <t>Kahlwan</t>
        </is>
      </c>
      <c r="C162" s="3" t="inlineStr">
        <is>
          <t>ਕਾਹਲਵਾਂ</t>
        </is>
      </c>
      <c r="D162" s="11" t="inlineStr">
        <is>
          <t>Won Both Times (Stronghold)</t>
        </is>
      </c>
      <c r="E162" s="5" t="n">
        <v>447</v>
      </c>
      <c r="F162" s="6">
        <f>447/785</f>
        <v/>
      </c>
      <c r="G162" s="7" t="inlineStr">
        <is>
          <t>INC</t>
        </is>
      </c>
      <c r="H162" s="5" t="n">
        <v>386</v>
      </c>
      <c r="I162" s="6">
        <f>386/721</f>
        <v/>
      </c>
      <c r="J162" s="7" t="inlineStr">
        <is>
          <t>INC</t>
        </is>
      </c>
      <c r="K162" s="5" t="n">
        <v>-61</v>
      </c>
      <c r="L162" s="8">
        <f>I162-F162</f>
        <v/>
      </c>
      <c r="M162" s="5" t="n">
        <v>243</v>
      </c>
      <c r="N162" s="5" t="n">
        <v>721</v>
      </c>
    </row>
    <row r="163" ht="20" customHeight="1">
      <c r="A163" s="9" t="n">
        <v>162</v>
      </c>
      <c r="B163" s="10" t="inlineStr">
        <is>
          <t>Kahlwan</t>
        </is>
      </c>
      <c r="C163" s="10" t="inlineStr">
        <is>
          <t>ਕਾਹਲਵਾਂ</t>
        </is>
      </c>
      <c r="D163" s="11" t="inlineStr">
        <is>
          <t>Won Both Times (Stronghold)</t>
        </is>
      </c>
      <c r="E163" s="12" t="n">
        <v>197</v>
      </c>
      <c r="F163" s="13">
        <f>197/584</f>
        <v/>
      </c>
      <c r="G163" s="14" t="inlineStr">
        <is>
          <t>INC</t>
        </is>
      </c>
      <c r="H163" s="12" t="n">
        <v>188</v>
      </c>
      <c r="I163" s="13">
        <f>188/452</f>
        <v/>
      </c>
      <c r="J163" s="14" t="inlineStr">
        <is>
          <t>INC</t>
        </is>
      </c>
      <c r="K163" s="12" t="n">
        <v>-9</v>
      </c>
      <c r="L163" s="15">
        <f>I163-F163</f>
        <v/>
      </c>
      <c r="M163" s="12" t="n">
        <v>17</v>
      </c>
      <c r="N163" s="12" t="n">
        <v>452</v>
      </c>
    </row>
    <row r="164" ht="20" customHeight="1">
      <c r="A164" s="2" t="n">
        <v>163</v>
      </c>
      <c r="B164" s="3" t="inlineStr">
        <is>
          <t>Kahlwan</t>
        </is>
      </c>
      <c r="C164" s="3" t="inlineStr">
        <is>
          <t>ਕਾਹਲਵਾਂ</t>
        </is>
      </c>
      <c r="D164" s="11" t="inlineStr">
        <is>
          <t>Won Both Times (Stronghold)</t>
        </is>
      </c>
      <c r="E164" s="5" t="n">
        <v>156</v>
      </c>
      <c r="F164" s="6">
        <f>156/442</f>
        <v/>
      </c>
      <c r="G164" s="7" t="inlineStr">
        <is>
          <t>INC</t>
        </is>
      </c>
      <c r="H164" s="5" t="n">
        <v>110</v>
      </c>
      <c r="I164" s="6">
        <f>110/320</f>
        <v/>
      </c>
      <c r="J164" s="7" t="inlineStr">
        <is>
          <t>INC</t>
        </is>
      </c>
      <c r="K164" s="5" t="n">
        <v>-46</v>
      </c>
      <c r="L164" s="8">
        <f>I164-F164</f>
        <v/>
      </c>
      <c r="M164" s="5" t="n">
        <v>22</v>
      </c>
      <c r="N164" s="5" t="n">
        <v>320</v>
      </c>
    </row>
    <row r="165" ht="20" customHeight="1">
      <c r="A165" s="9" t="n">
        <v>164</v>
      </c>
      <c r="B165" s="10" t="inlineStr">
        <is>
          <t>Basrai</t>
        </is>
      </c>
      <c r="C165" s="10" t="inlineStr">
        <is>
          <t>ਬਸਰਈ</t>
        </is>
      </c>
      <c r="D165" s="11" t="inlineStr">
        <is>
          <t>Won Both Times (Stronghold)</t>
        </is>
      </c>
      <c r="E165" s="12" t="n">
        <v>289</v>
      </c>
      <c r="F165" s="13">
        <f>289/777</f>
        <v/>
      </c>
      <c r="G165" s="14" t="inlineStr">
        <is>
          <t>INC</t>
        </is>
      </c>
      <c r="H165" s="12" t="n">
        <v>285</v>
      </c>
      <c r="I165" s="13">
        <f>285/684</f>
        <v/>
      </c>
      <c r="J165" s="14" t="inlineStr">
        <is>
          <t>INC</t>
        </is>
      </c>
      <c r="K165" s="12" t="n">
        <v>-4</v>
      </c>
      <c r="L165" s="15">
        <f>I165-F165</f>
        <v/>
      </c>
      <c r="M165" s="12" t="n">
        <v>53</v>
      </c>
      <c r="N165" s="12" t="n">
        <v>684</v>
      </c>
    </row>
    <row r="166" ht="20" customHeight="1">
      <c r="A166" s="2" t="n">
        <v>165</v>
      </c>
      <c r="B166" s="3" t="inlineStr">
        <is>
          <t>Basrai</t>
        </is>
      </c>
      <c r="C166" s="3" t="inlineStr">
        <is>
          <t>ਬਸਰਈ</t>
        </is>
      </c>
      <c r="D166" s="4" t="inlineStr">
        <is>
          <t>Gained in 2024 (New Win)</t>
        </is>
      </c>
      <c r="E166" s="5" t="n">
        <v>173</v>
      </c>
      <c r="F166" s="6">
        <f>173/592</f>
        <v/>
      </c>
      <c r="G166" s="7" t="inlineStr">
        <is>
          <t>AAP</t>
        </is>
      </c>
      <c r="H166" s="5" t="n">
        <v>174</v>
      </c>
      <c r="I166" s="6">
        <f>174/458</f>
        <v/>
      </c>
      <c r="J166" s="7" t="inlineStr">
        <is>
          <t>INC</t>
        </is>
      </c>
      <c r="K166" s="5" t="n">
        <v>1</v>
      </c>
      <c r="L166" s="8">
        <f>I166-F166</f>
        <v/>
      </c>
      <c r="M166" s="5" t="n">
        <v>36</v>
      </c>
      <c r="N166" s="5" t="n">
        <v>458</v>
      </c>
    </row>
    <row r="167" ht="20" customHeight="1">
      <c r="A167" s="9" t="n">
        <v>166</v>
      </c>
      <c r="B167" s="10" t="inlineStr">
        <is>
          <t>Basrai</t>
        </is>
      </c>
      <c r="C167" s="10" t="inlineStr">
        <is>
          <t>ਬਸਰਈ</t>
        </is>
      </c>
      <c r="D167" s="11" t="inlineStr">
        <is>
          <t>Won Both Times (Stronghold)</t>
        </is>
      </c>
      <c r="E167" s="12" t="n">
        <v>270</v>
      </c>
      <c r="F167" s="13">
        <f>270/668</f>
        <v/>
      </c>
      <c r="G167" s="14" t="inlineStr">
        <is>
          <t>INC</t>
        </is>
      </c>
      <c r="H167" s="12" t="n">
        <v>303</v>
      </c>
      <c r="I167" s="13">
        <f>303/611</f>
        <v/>
      </c>
      <c r="J167" s="14" t="inlineStr">
        <is>
          <t>INC</t>
        </is>
      </c>
      <c r="K167" s="12" t="n">
        <v>33</v>
      </c>
      <c r="L167" s="15">
        <f>I167-F167</f>
        <v/>
      </c>
      <c r="M167" s="12" t="n">
        <v>134</v>
      </c>
      <c r="N167" s="12" t="n">
        <v>611</v>
      </c>
    </row>
    <row r="168" ht="20" customHeight="1">
      <c r="A168" s="2" t="n">
        <v>167</v>
      </c>
      <c r="B168" s="3" t="inlineStr">
        <is>
          <t>Daili Bangar</t>
        </is>
      </c>
      <c r="C168" s="3" t="inlineStr">
        <is>
          <t>ਡੈਲੀ ਬਾਂਗਰ</t>
        </is>
      </c>
      <c r="D168" s="17" t="inlineStr">
        <is>
          <t>Weak Booth (&lt; 20% Share)</t>
        </is>
      </c>
      <c r="E168" s="5" t="n">
        <v>103</v>
      </c>
      <c r="F168" s="6">
        <f>103/443</f>
        <v/>
      </c>
      <c r="G168" s="7" t="inlineStr">
        <is>
          <t>SAD</t>
        </is>
      </c>
      <c r="H168" s="5" t="n">
        <v>62</v>
      </c>
      <c r="I168" s="6">
        <f>62/442</f>
        <v/>
      </c>
      <c r="J168" s="7" t="inlineStr">
        <is>
          <t>AAP</t>
        </is>
      </c>
      <c r="K168" s="5" t="n">
        <v>-41</v>
      </c>
      <c r="L168" s="8">
        <f>I168-F168</f>
        <v/>
      </c>
      <c r="M168" s="5" t="n">
        <v>127</v>
      </c>
      <c r="N168" s="5" t="n">
        <v>442</v>
      </c>
    </row>
    <row r="169" ht="20" customHeight="1">
      <c r="A169" s="9" t="n">
        <v>168</v>
      </c>
      <c r="B169" s="10" t="inlineStr">
        <is>
          <t>Daili Bangar</t>
        </is>
      </c>
      <c r="C169" s="10" t="inlineStr">
        <is>
          <t>ਡੈਲੀ ਬਾਂਗਰ</t>
        </is>
      </c>
      <c r="D169" s="16" t="inlineStr">
        <is>
          <t>Lost Both Times (Deficit)</t>
        </is>
      </c>
      <c r="E169" s="12" t="n">
        <v>118</v>
      </c>
      <c r="F169" s="13">
        <f>118/440</f>
        <v/>
      </c>
      <c r="G169" s="14" t="inlineStr">
        <is>
          <t>SAD</t>
        </is>
      </c>
      <c r="H169" s="12" t="n">
        <v>87</v>
      </c>
      <c r="I169" s="13">
        <f>87/424</f>
        <v/>
      </c>
      <c r="J169" s="14" t="inlineStr">
        <is>
          <t>AAP</t>
        </is>
      </c>
      <c r="K169" s="12" t="n">
        <v>-31</v>
      </c>
      <c r="L169" s="15">
        <f>I169-F169</f>
        <v/>
      </c>
      <c r="M169" s="12" t="n">
        <v>71</v>
      </c>
      <c r="N169" s="12" t="n">
        <v>424</v>
      </c>
    </row>
    <row r="170" ht="20" customHeight="1">
      <c r="A170" s="2" t="n">
        <v>169</v>
      </c>
      <c r="B170" s="3" t="inlineStr">
        <is>
          <t>Bhangwan</t>
        </is>
      </c>
      <c r="C170" s="3" t="inlineStr">
        <is>
          <t>ਭੰਗਵਾਂ</t>
        </is>
      </c>
      <c r="D170" s="18" t="inlineStr">
        <is>
          <t>Lost in 2024 (to SAD)</t>
        </is>
      </c>
      <c r="E170" s="5" t="n">
        <v>257</v>
      </c>
      <c r="F170" s="6">
        <f>257/693</f>
        <v/>
      </c>
      <c r="G170" s="7" t="inlineStr">
        <is>
          <t>INC</t>
        </is>
      </c>
      <c r="H170" s="5" t="n">
        <v>182</v>
      </c>
      <c r="I170" s="6">
        <f>182/647</f>
        <v/>
      </c>
      <c r="J170" s="7" t="inlineStr">
        <is>
          <t>SAD</t>
        </is>
      </c>
      <c r="K170" s="5" t="n">
        <v>-75</v>
      </c>
      <c r="L170" s="8">
        <f>I170-F170</f>
        <v/>
      </c>
      <c r="M170" s="5" t="n">
        <v>29</v>
      </c>
      <c r="N170" s="5" t="n">
        <v>647</v>
      </c>
    </row>
    <row r="171" ht="20" customHeight="1">
      <c r="A171" s="9" t="n">
        <v>170</v>
      </c>
      <c r="B171" s="10" t="inlineStr">
        <is>
          <t>Salarpur</t>
        </is>
      </c>
      <c r="C171" s="10" t="inlineStr">
        <is>
          <t>ਸਲਾਰਪੁਰ</t>
        </is>
      </c>
      <c r="D171" s="11" t="inlineStr">
        <is>
          <t>Won Both Times (Stronghold)</t>
        </is>
      </c>
      <c r="E171" s="12" t="n">
        <v>328</v>
      </c>
      <c r="F171" s="13">
        <f>328/826</f>
        <v/>
      </c>
      <c r="G171" s="14" t="inlineStr">
        <is>
          <t>INC</t>
        </is>
      </c>
      <c r="H171" s="12" t="n">
        <v>322</v>
      </c>
      <c r="I171" s="13">
        <f>322/676</f>
        <v/>
      </c>
      <c r="J171" s="14" t="inlineStr">
        <is>
          <t>INC</t>
        </is>
      </c>
      <c r="K171" s="12" t="n">
        <v>-6</v>
      </c>
      <c r="L171" s="15">
        <f>I171-F171</f>
        <v/>
      </c>
      <c r="M171" s="12" t="n">
        <v>175</v>
      </c>
      <c r="N171" s="12" t="n">
        <v>676</v>
      </c>
    </row>
    <row r="172" ht="20" customHeight="1">
      <c r="A172" s="2" t="n">
        <v>171</v>
      </c>
      <c r="B172" s="3" t="inlineStr">
        <is>
          <t>Chandogi Mayian Singh</t>
        </is>
      </c>
      <c r="C172" s="3" t="inlineStr">
        <is>
          <t>ਚੰਡੋਗੀ ਮਈਆਂ ਸਿੰਘ</t>
        </is>
      </c>
      <c r="D172" s="16" t="inlineStr">
        <is>
          <t>Lost Both Times (Deficit)</t>
        </is>
      </c>
      <c r="E172" s="5" t="n">
        <v>204</v>
      </c>
      <c r="F172" s="6">
        <f>204/594</f>
        <v/>
      </c>
      <c r="G172" s="7" t="inlineStr">
        <is>
          <t>AAP</t>
        </is>
      </c>
      <c r="H172" s="5" t="n">
        <v>160</v>
      </c>
      <c r="I172" s="6">
        <f>160/535</f>
        <v/>
      </c>
      <c r="J172" s="7" t="inlineStr">
        <is>
          <t>SAD</t>
        </is>
      </c>
      <c r="K172" s="5" t="n">
        <v>-44</v>
      </c>
      <c r="L172" s="8">
        <f>I172-F172</f>
        <v/>
      </c>
      <c r="M172" s="5" t="n">
        <v>3</v>
      </c>
      <c r="N172" s="5" t="n">
        <v>535</v>
      </c>
    </row>
    <row r="173" ht="20" customHeight="1">
      <c r="A173" s="9" t="n">
        <v>172</v>
      </c>
      <c r="B173" s="10" t="inlineStr">
        <is>
          <t>Kunt</t>
        </is>
      </c>
      <c r="C173" s="10" t="inlineStr">
        <is>
          <t>ਕੂੰਟ</t>
        </is>
      </c>
      <c r="D173" s="4" t="inlineStr">
        <is>
          <t>Gained in 2024 (New Win)</t>
        </is>
      </c>
      <c r="E173" s="12" t="n">
        <v>222</v>
      </c>
      <c r="F173" s="13">
        <f>222/617</f>
        <v/>
      </c>
      <c r="G173" s="14" t="inlineStr">
        <is>
          <t>AAP</t>
        </is>
      </c>
      <c r="H173" s="12" t="n">
        <v>263</v>
      </c>
      <c r="I173" s="13">
        <f>263/580</f>
        <v/>
      </c>
      <c r="J173" s="14" t="inlineStr">
        <is>
          <t>INC</t>
        </is>
      </c>
      <c r="K173" s="12" t="n">
        <v>41</v>
      </c>
      <c r="L173" s="15">
        <f>I173-F173</f>
        <v/>
      </c>
      <c r="M173" s="12" t="n">
        <v>84</v>
      </c>
      <c r="N173" s="12" t="n">
        <v>580</v>
      </c>
    </row>
    <row r="174" ht="20" customHeight="1">
      <c r="A174" s="2" t="n">
        <v>173</v>
      </c>
      <c r="B174" s="3" t="inlineStr">
        <is>
          <t>Ghot Khurd</t>
        </is>
      </c>
      <c r="C174" s="3" t="inlineStr">
        <is>
          <t>ਗੋਹਤ ਖੁਰਦ</t>
        </is>
      </c>
      <c r="D174" s="11" t="inlineStr">
        <is>
          <t>Won Both Times (Stronghold)</t>
        </is>
      </c>
      <c r="E174" s="5" t="n">
        <v>195</v>
      </c>
      <c r="F174" s="6">
        <f>195/438</f>
        <v/>
      </c>
      <c r="G174" s="7" t="inlineStr">
        <is>
          <t>INC</t>
        </is>
      </c>
      <c r="H174" s="5" t="n">
        <v>145</v>
      </c>
      <c r="I174" s="6">
        <f>145/424</f>
        <v/>
      </c>
      <c r="J174" s="7" t="inlineStr">
        <is>
          <t>INC</t>
        </is>
      </c>
      <c r="K174" s="5" t="n">
        <v>-50</v>
      </c>
      <c r="L174" s="8">
        <f>I174-F174</f>
        <v/>
      </c>
      <c r="M174" s="5" t="n">
        <v>31</v>
      </c>
      <c r="N174" s="5" t="n">
        <v>424</v>
      </c>
    </row>
    <row r="175" ht="20" customHeight="1">
      <c r="A175" s="9" t="n">
        <v>174</v>
      </c>
      <c r="B175" s="10" t="inlineStr">
        <is>
          <t>Hambowal</t>
        </is>
      </c>
      <c r="C175" s="10" t="inlineStr">
        <is>
          <t>ਹੰਬੋਵਾਲ</t>
        </is>
      </c>
      <c r="D175" s="18" t="inlineStr">
        <is>
          <t>Lost in 2024 (to AAP)</t>
        </is>
      </c>
      <c r="E175" s="12" t="n">
        <v>226</v>
      </c>
      <c r="F175" s="13">
        <f>226/571</f>
        <v/>
      </c>
      <c r="G175" s="14" t="inlineStr">
        <is>
          <t>INC</t>
        </is>
      </c>
      <c r="H175" s="12" t="n">
        <v>161</v>
      </c>
      <c r="I175" s="13">
        <f>161/517</f>
        <v/>
      </c>
      <c r="J175" s="14" t="inlineStr">
        <is>
          <t>AAP</t>
        </is>
      </c>
      <c r="K175" s="12" t="n">
        <v>-65</v>
      </c>
      <c r="L175" s="15">
        <f>I175-F175</f>
        <v/>
      </c>
      <c r="M175" s="12" t="n">
        <v>38</v>
      </c>
      <c r="N175" s="12" t="n">
        <v>517</v>
      </c>
    </row>
    <row r="176" ht="20" customHeight="1">
      <c r="A176" s="2" t="n">
        <v>175</v>
      </c>
      <c r="B176" s="3" t="inlineStr">
        <is>
          <t>Chib</t>
        </is>
      </c>
      <c r="C176" s="3" t="inlineStr">
        <is>
          <t>ਛਿੱਬ</t>
        </is>
      </c>
      <c r="D176" s="18" t="inlineStr">
        <is>
          <t>Lost in 2024 (to BJP)</t>
        </is>
      </c>
      <c r="E176" s="5" t="n">
        <v>283</v>
      </c>
      <c r="F176" s="6">
        <f>283/552</f>
        <v/>
      </c>
      <c r="G176" s="7" t="inlineStr">
        <is>
          <t>INC</t>
        </is>
      </c>
      <c r="H176" s="5" t="n">
        <v>67</v>
      </c>
      <c r="I176" s="6">
        <f>67/517</f>
        <v/>
      </c>
      <c r="J176" s="7" t="inlineStr">
        <is>
          <t>BJP</t>
        </is>
      </c>
      <c r="K176" s="5" t="n">
        <v>-216</v>
      </c>
      <c r="L176" s="8">
        <f>I176-F176</f>
        <v/>
      </c>
      <c r="M176" s="5" t="n">
        <v>288</v>
      </c>
      <c r="N176" s="5" t="n">
        <v>517</v>
      </c>
    </row>
    <row r="177" ht="20" customHeight="1">
      <c r="A177" s="9" t="n">
        <v>176</v>
      </c>
      <c r="B177" s="10" t="inlineStr">
        <is>
          <t>Bhattian</t>
        </is>
      </c>
      <c r="C177" s="10" t="inlineStr">
        <is>
          <t>ਭੱਟੀਆਂ</t>
        </is>
      </c>
      <c r="D177" s="4" t="inlineStr">
        <is>
          <t>Gained in 2024 (New Win)</t>
        </is>
      </c>
      <c r="E177" s="12" t="n">
        <v>184</v>
      </c>
      <c r="F177" s="13">
        <f>184/604</f>
        <v/>
      </c>
      <c r="G177" s="14" t="inlineStr">
        <is>
          <t>AAP</t>
        </is>
      </c>
      <c r="H177" s="12" t="n">
        <v>178</v>
      </c>
      <c r="I177" s="13">
        <f>178/513</f>
        <v/>
      </c>
      <c r="J177" s="14" t="inlineStr">
        <is>
          <t>INC</t>
        </is>
      </c>
      <c r="K177" s="12" t="n">
        <v>-6</v>
      </c>
      <c r="L177" s="15">
        <f>I177-F177</f>
        <v/>
      </c>
      <c r="M177" s="12" t="n">
        <v>18</v>
      </c>
      <c r="N177" s="12" t="n">
        <v>513</v>
      </c>
    </row>
    <row r="178" ht="20" customHeight="1">
      <c r="A178" s="2" t="n">
        <v>177</v>
      </c>
      <c r="B178" s="3" t="inlineStr">
        <is>
          <t>Bhattian</t>
        </is>
      </c>
      <c r="C178" s="3" t="inlineStr">
        <is>
          <t>ਭੱਟੀਆਂ</t>
        </is>
      </c>
      <c r="D178" s="18" t="inlineStr">
        <is>
          <t>Lost in 2024 (to AAP)</t>
        </is>
      </c>
      <c r="E178" s="5" t="n">
        <v>225</v>
      </c>
      <c r="F178" s="6">
        <f>225/573</f>
        <v/>
      </c>
      <c r="G178" s="7" t="inlineStr">
        <is>
          <t>INC</t>
        </is>
      </c>
      <c r="H178" s="5" t="n">
        <v>187</v>
      </c>
      <c r="I178" s="6">
        <f>187/523</f>
        <v/>
      </c>
      <c r="J178" s="7" t="inlineStr">
        <is>
          <t>AAP</t>
        </is>
      </c>
      <c r="K178" s="5" t="n">
        <v>-38</v>
      </c>
      <c r="L178" s="8">
        <f>I178-F178</f>
        <v/>
      </c>
      <c r="M178" s="5" t="n">
        <v>58</v>
      </c>
      <c r="N178" s="5" t="n">
        <v>523</v>
      </c>
    </row>
    <row r="179" ht="20" customHeight="1">
      <c r="A179" s="9" t="n">
        <v>178</v>
      </c>
      <c r="B179" s="10" t="inlineStr">
        <is>
          <t>Jangowal Bangar</t>
        </is>
      </c>
      <c r="C179" s="10" t="inlineStr">
        <is>
          <t>ਜਾਂਗੋਵਾਲ ਬਾਂਗਰ</t>
        </is>
      </c>
      <c r="D179" s="11" t="inlineStr">
        <is>
          <t>Won Both Times (Stronghold)</t>
        </is>
      </c>
      <c r="E179" s="12" t="n">
        <v>375</v>
      </c>
      <c r="F179" s="13">
        <f>375/691</f>
        <v/>
      </c>
      <c r="G179" s="14" t="inlineStr">
        <is>
          <t>INC</t>
        </is>
      </c>
      <c r="H179" s="12" t="n">
        <v>329</v>
      </c>
      <c r="I179" s="13">
        <f>329/630</f>
        <v/>
      </c>
      <c r="J179" s="14" t="inlineStr">
        <is>
          <t>INC</t>
        </is>
      </c>
      <c r="K179" s="12" t="n">
        <v>-46</v>
      </c>
      <c r="L179" s="15">
        <f>I179-F179</f>
        <v/>
      </c>
      <c r="M179" s="12" t="n">
        <v>168</v>
      </c>
      <c r="N179" s="12" t="n">
        <v>630</v>
      </c>
    </row>
    <row r="180" ht="20" customHeight="1">
      <c r="A180" s="2" t="n">
        <v>179</v>
      </c>
      <c r="B180" s="3" t="inlineStr">
        <is>
          <t>Kiri Afghana</t>
        </is>
      </c>
      <c r="C180" s="3" t="inlineStr">
        <is>
          <t>ਕੀੜੀ ਅਫਗਾਨਾ</t>
        </is>
      </c>
      <c r="D180" s="16" t="inlineStr">
        <is>
          <t>Lost Both Times (Deficit)</t>
        </is>
      </c>
      <c r="E180" s="5" t="n">
        <v>176</v>
      </c>
      <c r="F180" s="6">
        <f>176/522</f>
        <v/>
      </c>
      <c r="G180" s="7" t="inlineStr">
        <is>
          <t>AAP</t>
        </is>
      </c>
      <c r="H180" s="5" t="n">
        <v>141</v>
      </c>
      <c r="I180" s="6">
        <f>141/441</f>
        <v/>
      </c>
      <c r="J180" s="7" t="inlineStr">
        <is>
          <t>AAP</t>
        </is>
      </c>
      <c r="K180" s="5" t="n">
        <v>-35</v>
      </c>
      <c r="L180" s="8">
        <f>I180-F180</f>
        <v/>
      </c>
      <c r="M180" s="5" t="n">
        <v>22</v>
      </c>
      <c r="N180" s="5" t="n">
        <v>441</v>
      </c>
    </row>
    <row r="181" ht="20" customHeight="1">
      <c r="A181" s="9" t="n">
        <v>180</v>
      </c>
      <c r="B181" s="10" t="inlineStr">
        <is>
          <t>Kotli Harchanda</t>
        </is>
      </c>
      <c r="C181" s="10" t="inlineStr">
        <is>
          <t>ਕੋਟਲੀ ਹਰਚੰਦਾ</t>
        </is>
      </c>
      <c r="D181" s="18" t="inlineStr">
        <is>
          <t>Lost in 2024 (to BJP)</t>
        </is>
      </c>
      <c r="E181" s="12" t="n">
        <v>185</v>
      </c>
      <c r="F181" s="13">
        <f>185/418</f>
        <v/>
      </c>
      <c r="G181" s="14" t="inlineStr">
        <is>
          <t>INC</t>
        </is>
      </c>
      <c r="H181" s="12" t="n">
        <v>69</v>
      </c>
      <c r="I181" s="13">
        <f>69/418</f>
        <v/>
      </c>
      <c r="J181" s="14" t="inlineStr">
        <is>
          <t>BJP</t>
        </is>
      </c>
      <c r="K181" s="12" t="n">
        <v>-116</v>
      </c>
      <c r="L181" s="15">
        <f>I181-F181</f>
        <v/>
      </c>
      <c r="M181" s="12" t="n">
        <v>227</v>
      </c>
      <c r="N181" s="12" t="n">
        <v>418</v>
      </c>
    </row>
    <row r="182" ht="20" customHeight="1">
      <c r="A182" s="2" t="n">
        <v>181</v>
      </c>
      <c r="B182" s="3" t="inlineStr">
        <is>
          <t>Kotli Harchanda</t>
        </is>
      </c>
      <c r="C182" s="3" t="inlineStr">
        <is>
          <t>ਕੋਟਲੀ ਹਰਚੰਦਾ</t>
        </is>
      </c>
      <c r="D182" s="4" t="inlineStr">
        <is>
          <t>Gained in 2024 (New Win)</t>
        </is>
      </c>
      <c r="E182" s="5" t="n">
        <v>116</v>
      </c>
      <c r="F182" s="6">
        <f>116/398</f>
        <v/>
      </c>
      <c r="G182" s="7" t="inlineStr">
        <is>
          <t>AAP</t>
        </is>
      </c>
      <c r="H182" s="5" t="n">
        <v>120</v>
      </c>
      <c r="I182" s="6">
        <f>120/343</f>
        <v/>
      </c>
      <c r="J182" s="7" t="inlineStr">
        <is>
          <t>INC</t>
        </is>
      </c>
      <c r="K182" s="5" t="n">
        <v>4</v>
      </c>
      <c r="L182" s="8">
        <f>I182-F182</f>
        <v/>
      </c>
      <c r="M182" s="5" t="n">
        <v>23</v>
      </c>
      <c r="N182" s="5" t="n">
        <v>343</v>
      </c>
    </row>
    <row r="183" ht="20" customHeight="1">
      <c r="A183" s="9" t="n">
        <v>182</v>
      </c>
      <c r="B183" s="10" t="inlineStr">
        <is>
          <t>Ghukkan</t>
        </is>
      </c>
      <c r="C183" s="10" t="inlineStr">
        <is>
          <t>ਘੁੱਕਲਾਂ</t>
        </is>
      </c>
      <c r="D183" s="18" t="inlineStr">
        <is>
          <t>Lost in 2024 (to BJP)</t>
        </is>
      </c>
      <c r="E183" s="12" t="n">
        <v>79</v>
      </c>
      <c r="F183" s="13">
        <f>79/238</f>
        <v/>
      </c>
      <c r="G183" s="14" t="inlineStr">
        <is>
          <t>INC</t>
        </is>
      </c>
      <c r="H183" s="12" t="n">
        <v>18</v>
      </c>
      <c r="I183" s="13">
        <f>18/232</f>
        <v/>
      </c>
      <c r="J183" s="14" t="inlineStr">
        <is>
          <t>BJP</t>
        </is>
      </c>
      <c r="K183" s="12" t="n">
        <v>-61</v>
      </c>
      <c r="L183" s="15">
        <f>I183-F183</f>
        <v/>
      </c>
      <c r="M183" s="12" t="n">
        <v>101</v>
      </c>
      <c r="N183" s="12" t="n">
        <v>232</v>
      </c>
    </row>
    <row r="184" ht="20" customHeight="1">
      <c r="A184" s="2" t="n">
        <v>183</v>
      </c>
      <c r="B184" s="3" t="inlineStr">
        <is>
          <t>Jalalpur</t>
        </is>
      </c>
      <c r="C184" s="3" t="inlineStr">
        <is>
          <t>ਜਲਾਲਪੁਰ</t>
        </is>
      </c>
      <c r="D184" s="11" t="inlineStr">
        <is>
          <t>Won Both Times (Stronghold)</t>
        </is>
      </c>
      <c r="E184" s="5" t="n">
        <v>310</v>
      </c>
      <c r="F184" s="6">
        <f>310/549</f>
        <v/>
      </c>
      <c r="G184" s="7" t="inlineStr">
        <is>
          <t>INC</t>
        </is>
      </c>
      <c r="H184" s="5" t="n">
        <v>197</v>
      </c>
      <c r="I184" s="6">
        <f>197/546</f>
        <v/>
      </c>
      <c r="J184" s="7" t="inlineStr">
        <is>
          <t>INC</t>
        </is>
      </c>
      <c r="K184" s="5" t="n">
        <v>-113</v>
      </c>
      <c r="L184" s="8">
        <f>I184-F184</f>
        <v/>
      </c>
      <c r="M184" s="5" t="n">
        <v>12</v>
      </c>
      <c r="N184" s="5" t="n">
        <v>546</v>
      </c>
    </row>
    <row r="185" ht="20" customHeight="1">
      <c r="A185" s="9" t="n">
        <v>184</v>
      </c>
      <c r="B185" s="10" t="inlineStr">
        <is>
          <t>Bagol</t>
        </is>
      </c>
      <c r="C185" s="10" t="inlineStr">
        <is>
          <t>ਬਗੋਲ</t>
        </is>
      </c>
      <c r="D185" s="17" t="inlineStr">
        <is>
          <t>Weak Booth (&lt; 20% Share)</t>
        </is>
      </c>
      <c r="E185" s="12" t="n">
        <v>226</v>
      </c>
      <c r="F185" s="13">
        <f>226/728</f>
        <v/>
      </c>
      <c r="G185" s="14" t="inlineStr">
        <is>
          <t>AAP</t>
        </is>
      </c>
      <c r="H185" s="12" t="n">
        <v>97</v>
      </c>
      <c r="I185" s="13">
        <f>97/659</f>
        <v/>
      </c>
      <c r="J185" s="14" t="inlineStr">
        <is>
          <t>BJP</t>
        </is>
      </c>
      <c r="K185" s="12" t="n">
        <v>-129</v>
      </c>
      <c r="L185" s="15">
        <f>I185-F185</f>
        <v/>
      </c>
      <c r="M185" s="12" t="n">
        <v>135</v>
      </c>
      <c r="N185" s="12" t="n">
        <v>659</v>
      </c>
    </row>
    <row r="186" ht="20" customHeight="1">
      <c r="A186" s="2" t="n">
        <v>185</v>
      </c>
      <c r="B186" s="3" t="inlineStr">
        <is>
          <t>Lakhanpur</t>
        </is>
      </c>
      <c r="C186" s="3" t="inlineStr">
        <is>
          <t>ਲਖਣਪੁਰ</t>
        </is>
      </c>
      <c r="D186" s="11" t="inlineStr">
        <is>
          <t>Won Both Times (Stronghold)</t>
        </is>
      </c>
      <c r="E186" s="5" t="n">
        <v>177</v>
      </c>
      <c r="F186" s="6">
        <f>177/443</f>
        <v/>
      </c>
      <c r="G186" s="7" t="inlineStr">
        <is>
          <t>INC</t>
        </is>
      </c>
      <c r="H186" s="5" t="n">
        <v>163</v>
      </c>
      <c r="I186" s="6">
        <f>163/379</f>
        <v/>
      </c>
      <c r="J186" s="7" t="inlineStr">
        <is>
          <t>INC</t>
        </is>
      </c>
      <c r="K186" s="5" t="n">
        <v>-14</v>
      </c>
      <c r="L186" s="8">
        <f>I186-F186</f>
        <v/>
      </c>
      <c r="M186" s="5" t="n">
        <v>61</v>
      </c>
      <c r="N186" s="5" t="n">
        <v>379</v>
      </c>
    </row>
    <row r="187" ht="20" customHeight="1">
      <c r="A187" s="9" t="n">
        <v>186</v>
      </c>
      <c r="B187" s="10" t="inlineStr">
        <is>
          <t>Tugalwal</t>
        </is>
      </c>
      <c r="C187" s="10" t="inlineStr">
        <is>
          <t>ਤੁਗਲਵਾਲ</t>
        </is>
      </c>
      <c r="D187" s="4" t="inlineStr">
        <is>
          <t>Gained in 2024 (New Win)</t>
        </is>
      </c>
      <c r="E187" s="12" t="n">
        <v>195</v>
      </c>
      <c r="F187" s="13">
        <f>195/648</f>
        <v/>
      </c>
      <c r="G187" s="14" t="inlineStr">
        <is>
          <t>AAP</t>
        </is>
      </c>
      <c r="H187" s="12" t="n">
        <v>166</v>
      </c>
      <c r="I187" s="13">
        <f>166/527</f>
        <v/>
      </c>
      <c r="J187" s="14" t="inlineStr">
        <is>
          <t>INC</t>
        </is>
      </c>
      <c r="K187" s="12" t="n">
        <v>-29</v>
      </c>
      <c r="L187" s="15">
        <f>I187-F187</f>
        <v/>
      </c>
      <c r="M187" s="12" t="n">
        <v>13</v>
      </c>
      <c r="N187" s="12" t="n">
        <v>527</v>
      </c>
    </row>
    <row r="188" ht="20" customHeight="1">
      <c r="A188" s="2" t="n">
        <v>187</v>
      </c>
      <c r="B188" s="3" t="inlineStr">
        <is>
          <t>Tugalwal</t>
        </is>
      </c>
      <c r="C188" s="3" t="inlineStr">
        <is>
          <t>ਤੁਗਲਵਾਲ</t>
        </is>
      </c>
      <c r="D188" s="16" t="inlineStr">
        <is>
          <t>Lost Both Times (Deficit)</t>
        </is>
      </c>
      <c r="E188" s="5" t="n">
        <v>174</v>
      </c>
      <c r="F188" s="6">
        <f>174/708</f>
        <v/>
      </c>
      <c r="G188" s="7" t="inlineStr">
        <is>
          <t>AAP</t>
        </is>
      </c>
      <c r="H188" s="5" t="n">
        <v>170</v>
      </c>
      <c r="I188" s="6">
        <f>170/591</f>
        <v/>
      </c>
      <c r="J188" s="7" t="inlineStr">
        <is>
          <t>AAP</t>
        </is>
      </c>
      <c r="K188" s="5" t="n">
        <v>-4</v>
      </c>
      <c r="L188" s="8">
        <f>I188-F188</f>
        <v/>
      </c>
      <c r="M188" s="5" t="n">
        <v>48</v>
      </c>
      <c r="N188" s="5" t="n">
        <v>591</v>
      </c>
    </row>
    <row r="189" ht="20" customHeight="1">
      <c r="A189" s="9" t="n">
        <v>188</v>
      </c>
      <c r="B189" s="10" t="inlineStr">
        <is>
          <t>Tugalwal</t>
        </is>
      </c>
      <c r="C189" s="10" t="inlineStr">
        <is>
          <t>ਤੁਗਲਵਾਲ</t>
        </is>
      </c>
      <c r="D189" s="4" t="inlineStr">
        <is>
          <t>Gained in 2024 (New Win)</t>
        </is>
      </c>
      <c r="E189" s="12" t="n">
        <v>162</v>
      </c>
      <c r="F189" s="13">
        <f>162/607</f>
        <v/>
      </c>
      <c r="G189" s="14" t="inlineStr">
        <is>
          <t>AAP</t>
        </is>
      </c>
      <c r="H189" s="12" t="n">
        <v>169</v>
      </c>
      <c r="I189" s="13">
        <f>169/528</f>
        <v/>
      </c>
      <c r="J189" s="14" t="inlineStr">
        <is>
          <t>INC</t>
        </is>
      </c>
      <c r="K189" s="12" t="n">
        <v>7</v>
      </c>
      <c r="L189" s="15">
        <f>I189-F189</f>
        <v/>
      </c>
      <c r="M189" s="12" t="n">
        <v>28</v>
      </c>
      <c r="N189" s="12" t="n">
        <v>528</v>
      </c>
    </row>
    <row r="190" ht="20" customHeight="1">
      <c r="A190" s="2" t="n">
        <v>189</v>
      </c>
      <c r="B190" s="3" t="inlineStr">
        <is>
          <t>Seeh Bhatti</t>
        </is>
      </c>
      <c r="C190" s="3" t="inlineStr">
        <is>
          <t>ਸੀਂਹ ਭੱਟੀ</t>
        </is>
      </c>
      <c r="D190" s="11" t="inlineStr">
        <is>
          <t>Won Both Times (Stronghold)</t>
        </is>
      </c>
      <c r="E190" s="5" t="n">
        <v>160</v>
      </c>
      <c r="F190" s="6">
        <f>160/370</f>
        <v/>
      </c>
      <c r="G190" s="7" t="inlineStr">
        <is>
          <t>INC</t>
        </is>
      </c>
      <c r="H190" s="5" t="n">
        <v>145</v>
      </c>
      <c r="I190" s="6">
        <f>145/312</f>
        <v/>
      </c>
      <c r="J190" s="7" t="inlineStr">
        <is>
          <t>INC</t>
        </is>
      </c>
      <c r="K190" s="5" t="n">
        <v>-15</v>
      </c>
      <c r="L190" s="8">
        <f>I190-F190</f>
        <v/>
      </c>
      <c r="M190" s="5" t="n">
        <v>66</v>
      </c>
      <c r="N190" s="5" t="n">
        <v>312</v>
      </c>
    </row>
    <row r="191" ht="20" customHeight="1">
      <c r="A191" s="9" t="n">
        <v>190</v>
      </c>
      <c r="B191" s="10" t="inlineStr">
        <is>
          <t>Seeh Bhatti</t>
        </is>
      </c>
      <c r="C191" s="10" t="inlineStr">
        <is>
          <t>ਸੀਂਹ ਭੱਟੀ</t>
        </is>
      </c>
      <c r="D191" s="16" t="inlineStr">
        <is>
          <t>Lost Both Times (Deficit)</t>
        </is>
      </c>
      <c r="E191" s="12" t="n">
        <v>156</v>
      </c>
      <c r="F191" s="13">
        <f>156/538</f>
        <v/>
      </c>
      <c r="G191" s="14" t="inlineStr">
        <is>
          <t>SAD</t>
        </is>
      </c>
      <c r="H191" s="12" t="n">
        <v>130</v>
      </c>
      <c r="I191" s="13">
        <f>130/470</f>
        <v/>
      </c>
      <c r="J191" s="14" t="inlineStr">
        <is>
          <t>AAP</t>
        </is>
      </c>
      <c r="K191" s="12" t="n">
        <v>-26</v>
      </c>
      <c r="L191" s="15">
        <f>I191-F191</f>
        <v/>
      </c>
      <c r="M191" s="12" t="n">
        <v>21</v>
      </c>
      <c r="N191" s="12" t="n">
        <v>470</v>
      </c>
    </row>
    <row r="192" ht="20" customHeight="1">
      <c r="A192" s="2" t="n">
        <v>191</v>
      </c>
      <c r="B192" s="3" t="inlineStr">
        <is>
          <t>Beri</t>
        </is>
      </c>
      <c r="C192" s="3" t="inlineStr">
        <is>
          <t>ਬੇਰੀ</t>
        </is>
      </c>
      <c r="D192" s="17" t="inlineStr">
        <is>
          <t>Weak Booth (&lt; 20% Share)</t>
        </is>
      </c>
      <c r="E192" s="5" t="n">
        <v>140</v>
      </c>
      <c r="F192" s="6">
        <f>140/514</f>
        <v/>
      </c>
      <c r="G192" s="7" t="inlineStr">
        <is>
          <t>AAP</t>
        </is>
      </c>
      <c r="H192" s="5" t="n">
        <v>90</v>
      </c>
      <c r="I192" s="6">
        <f>90/467</f>
        <v/>
      </c>
      <c r="J192" s="7" t="inlineStr">
        <is>
          <t>AAP</t>
        </is>
      </c>
      <c r="K192" s="5" t="n">
        <v>-50</v>
      </c>
      <c r="L192" s="8">
        <f>I192-F192</f>
        <v/>
      </c>
      <c r="M192" s="5" t="n">
        <v>49</v>
      </c>
      <c r="N192" s="5" t="n">
        <v>467</v>
      </c>
    </row>
    <row r="193" ht="20" customHeight="1">
      <c r="A193" s="9" t="n">
        <v>192</v>
      </c>
      <c r="B193" s="10" t="inlineStr">
        <is>
          <t>Beri</t>
        </is>
      </c>
      <c r="C193" s="10" t="inlineStr">
        <is>
          <t>ਬੇਰੀ</t>
        </is>
      </c>
      <c r="D193" s="16" t="inlineStr">
        <is>
          <t>Lost Both Times (Deficit)</t>
        </is>
      </c>
      <c r="E193" s="12" t="n">
        <v>87</v>
      </c>
      <c r="F193" s="13">
        <f>87/524</f>
        <v/>
      </c>
      <c r="G193" s="14" t="inlineStr">
        <is>
          <t>AAP</t>
        </is>
      </c>
      <c r="H193" s="12" t="n">
        <v>103</v>
      </c>
      <c r="I193" s="13">
        <f>103/437</f>
        <v/>
      </c>
      <c r="J193" s="14" t="inlineStr">
        <is>
          <t>SAD</t>
        </is>
      </c>
      <c r="K193" s="12" t="n">
        <v>16</v>
      </c>
      <c r="L193" s="15">
        <f>I193-F193</f>
        <v/>
      </c>
      <c r="M193" s="12" t="n">
        <v>1</v>
      </c>
      <c r="N193" s="12" t="n">
        <v>437</v>
      </c>
    </row>
    <row r="194" ht="20" customHeight="1">
      <c r="A194" s="2" t="n">
        <v>193</v>
      </c>
      <c r="B194" s="3" t="inlineStr">
        <is>
          <t>Thakkarwal</t>
        </is>
      </c>
      <c r="C194" s="3" t="inlineStr">
        <is>
          <t>ਠੱਕਰਵਾਲ</t>
        </is>
      </c>
      <c r="D194" s="4" t="inlineStr">
        <is>
          <t>Gained in 2024 (New Win)</t>
        </is>
      </c>
      <c r="E194" s="5" t="n">
        <v>97</v>
      </c>
      <c r="F194" s="6">
        <f>97/277</f>
        <v/>
      </c>
      <c r="G194" s="7" t="inlineStr">
        <is>
          <t>AAP</t>
        </is>
      </c>
      <c r="H194" s="5" t="n">
        <v>99</v>
      </c>
      <c r="I194" s="6">
        <f>99/243</f>
        <v/>
      </c>
      <c r="J194" s="7" t="inlineStr">
        <is>
          <t>INC</t>
        </is>
      </c>
      <c r="K194" s="5" t="n">
        <v>2</v>
      </c>
      <c r="L194" s="8">
        <f>I194-F194</f>
        <v/>
      </c>
      <c r="M194" s="5" t="n">
        <v>33</v>
      </c>
      <c r="N194" s="5" t="n">
        <v>243</v>
      </c>
    </row>
    <row r="195" ht="20" customHeight="1">
      <c r="A195" s="9" t="n">
        <v>194</v>
      </c>
      <c r="B195" s="10" t="inlineStr">
        <is>
          <t>Sooch</t>
        </is>
      </c>
      <c r="C195" s="10" t="inlineStr">
        <is>
          <t>ਸੂਚ</t>
        </is>
      </c>
      <c r="D195" s="4" t="inlineStr">
        <is>
          <t>Gained in 2024 (New Win)</t>
        </is>
      </c>
      <c r="E195" s="12" t="n">
        <v>155</v>
      </c>
      <c r="F195" s="13">
        <f>155/397</f>
        <v/>
      </c>
      <c r="G195" s="14" t="inlineStr">
        <is>
          <t>AAP</t>
        </is>
      </c>
      <c r="H195" s="12" t="n">
        <v>132</v>
      </c>
      <c r="I195" s="13">
        <f>132/402</f>
        <v/>
      </c>
      <c r="J195" s="14" t="inlineStr">
        <is>
          <t>INC</t>
        </is>
      </c>
      <c r="K195" s="12" t="n">
        <v>-23</v>
      </c>
      <c r="L195" s="15">
        <f>I195-F195</f>
        <v/>
      </c>
      <c r="M195" s="12" t="n">
        <v>5</v>
      </c>
      <c r="N195" s="12" t="n">
        <v>402</v>
      </c>
    </row>
    <row r="196" ht="20" customHeight="1">
      <c r="A196" s="2" t="n">
        <v>195</v>
      </c>
      <c r="B196" s="3" t="inlineStr">
        <is>
          <t>Datarpur, Bhochna</t>
        </is>
      </c>
      <c r="C196" s="3" t="inlineStr">
        <is>
          <t>ਦਤਾਰਪੁਰ, ਭੋਚਨਾ</t>
        </is>
      </c>
      <c r="D196" s="18" t="inlineStr">
        <is>
          <t>Lost in 2024 (to AAP)</t>
        </is>
      </c>
      <c r="E196" s="5" t="n">
        <v>218</v>
      </c>
      <c r="F196" s="6">
        <f>218/593</f>
        <v/>
      </c>
      <c r="G196" s="7" t="inlineStr">
        <is>
          <t>INC</t>
        </is>
      </c>
      <c r="H196" s="5" t="n">
        <v>103</v>
      </c>
      <c r="I196" s="6">
        <f>103/560</f>
        <v/>
      </c>
      <c r="J196" s="7" t="inlineStr">
        <is>
          <t>AAP</t>
        </is>
      </c>
      <c r="K196" s="5" t="n">
        <v>-115</v>
      </c>
      <c r="L196" s="8">
        <f>I196-F196</f>
        <v/>
      </c>
      <c r="M196" s="5" t="n">
        <v>15</v>
      </c>
      <c r="N196" s="5" t="n">
        <v>560</v>
      </c>
    </row>
    <row r="197" ht="20" customHeight="1">
      <c r="A197" s="9" t="n">
        <v>196</v>
      </c>
      <c r="B197" s="10" t="inlineStr">
        <is>
          <t>Kot Khan Mohammad</t>
        </is>
      </c>
      <c r="C197" s="10" t="inlineStr">
        <is>
          <t>ਕੋਟ ਖਾਨ ਮੁਹੰਮਦ</t>
        </is>
      </c>
      <c r="D197" s="11" t="inlineStr">
        <is>
          <t>Won Both Times (Stronghold)</t>
        </is>
      </c>
      <c r="E197" s="12" t="n">
        <v>308</v>
      </c>
      <c r="F197" s="13">
        <f>308/674</f>
        <v/>
      </c>
      <c r="G197" s="14" t="inlineStr">
        <is>
          <t>INC</t>
        </is>
      </c>
      <c r="H197" s="12" t="n">
        <v>186</v>
      </c>
      <c r="I197" s="13">
        <f>186/592</f>
        <v/>
      </c>
      <c r="J197" s="14" t="inlineStr">
        <is>
          <t>INC</t>
        </is>
      </c>
      <c r="K197" s="12" t="n">
        <v>-122</v>
      </c>
      <c r="L197" s="15">
        <f>I197-F197</f>
        <v/>
      </c>
      <c r="M197" s="12" t="n">
        <v>16</v>
      </c>
      <c r="N197" s="12" t="n">
        <v>592</v>
      </c>
    </row>
    <row r="198" ht="20" customHeight="1">
      <c r="A198" s="2" t="n">
        <v>197</v>
      </c>
      <c r="B198" s="3" t="inlineStr">
        <is>
          <t>Ferochechi</t>
        </is>
      </c>
      <c r="C198" s="3" t="inlineStr">
        <is>
          <t>ਫੇਰੋਚੇਚੀ</t>
        </is>
      </c>
      <c r="D198" s="11" t="inlineStr">
        <is>
          <t>Won Both Times (Stronghold)</t>
        </is>
      </c>
      <c r="E198" s="5" t="n">
        <v>335</v>
      </c>
      <c r="F198" s="6">
        <f>335/714</f>
        <v/>
      </c>
      <c r="G198" s="7" t="inlineStr">
        <is>
          <t>INC</t>
        </is>
      </c>
      <c r="H198" s="5" t="n">
        <v>315</v>
      </c>
      <c r="I198" s="6">
        <f>315/659</f>
        <v/>
      </c>
      <c r="J198" s="7" t="inlineStr">
        <is>
          <t>INC</t>
        </is>
      </c>
      <c r="K198" s="5" t="n">
        <v>-20</v>
      </c>
      <c r="L198" s="8">
        <f>I198-F198</f>
        <v/>
      </c>
      <c r="M198" s="5" t="n">
        <v>96</v>
      </c>
      <c r="N198" s="5" t="n">
        <v>659</v>
      </c>
    </row>
    <row r="199" ht="20" customHeight="1">
      <c r="A199" s="9" t="n">
        <v>198</v>
      </c>
      <c r="B199" s="10" t="inlineStr">
        <is>
          <t>Jeendarh</t>
        </is>
      </c>
      <c r="C199" s="10" t="inlineStr">
        <is>
          <t>ਜੀਂਦੜ</t>
        </is>
      </c>
      <c r="D199" s="11" t="inlineStr">
        <is>
          <t>Won Both Times (Stronghold)</t>
        </is>
      </c>
      <c r="E199" s="12" t="n">
        <v>251</v>
      </c>
      <c r="F199" s="13">
        <f>251/657</f>
        <v/>
      </c>
      <c r="G199" s="14" t="inlineStr">
        <is>
          <t>INC</t>
        </is>
      </c>
      <c r="H199" s="12" t="n">
        <v>247</v>
      </c>
      <c r="I199" s="13">
        <f>247/546</f>
        <v/>
      </c>
      <c r="J199" s="14" t="inlineStr">
        <is>
          <t>INC</t>
        </is>
      </c>
      <c r="K199" s="12" t="n">
        <v>-4</v>
      </c>
      <c r="L199" s="15">
        <f>I199-F199</f>
        <v/>
      </c>
      <c r="M199" s="12" t="n">
        <v>110</v>
      </c>
      <c r="N199" s="12" t="n">
        <v>546</v>
      </c>
    </row>
    <row r="200" ht="20" customHeight="1">
      <c r="A200" s="2" t="n">
        <v>199</v>
      </c>
      <c r="B200" s="3" t="inlineStr">
        <is>
          <t>Ghorewah</t>
        </is>
      </c>
      <c r="C200" s="3" t="inlineStr">
        <is>
          <t>ਘੋੜੇਵਾਹ</t>
        </is>
      </c>
      <c r="D200" s="11" t="inlineStr">
        <is>
          <t>Won Both Times (Stronghold)</t>
        </is>
      </c>
      <c r="E200" s="5" t="n">
        <v>293</v>
      </c>
      <c r="F200" s="6">
        <f>293/618</f>
        <v/>
      </c>
      <c r="G200" s="7" t="inlineStr">
        <is>
          <t>INC</t>
        </is>
      </c>
      <c r="H200" s="5" t="n">
        <v>215</v>
      </c>
      <c r="I200" s="6">
        <f>215/545</f>
        <v/>
      </c>
      <c r="J200" s="7" t="inlineStr">
        <is>
          <t>INC</t>
        </is>
      </c>
      <c r="K200" s="5" t="n">
        <v>-78</v>
      </c>
      <c r="L200" s="8">
        <f>I200-F200</f>
        <v/>
      </c>
      <c r="M200" s="5" t="n">
        <v>46</v>
      </c>
      <c r="N200" s="5" t="n">
        <v>545</v>
      </c>
    </row>
    <row r="201" ht="20" customHeight="1">
      <c r="A201" s="9" t="n">
        <v>200</v>
      </c>
      <c r="B201" s="10" t="inlineStr">
        <is>
          <t>Gorsian</t>
        </is>
      </c>
      <c r="C201" s="10" t="inlineStr">
        <is>
          <t>ਗੋਰਸੀਆਂ</t>
        </is>
      </c>
      <c r="D201" s="11" t="inlineStr">
        <is>
          <t>Won Both Times (Stronghold)</t>
        </is>
      </c>
      <c r="E201" s="12" t="n">
        <v>184</v>
      </c>
      <c r="F201" s="13">
        <f>184/452</f>
        <v/>
      </c>
      <c r="G201" s="14" t="inlineStr">
        <is>
          <t>INC</t>
        </is>
      </c>
      <c r="H201" s="12" t="n">
        <v>153</v>
      </c>
      <c r="I201" s="13">
        <f>153/411</f>
        <v/>
      </c>
      <c r="J201" s="14" t="inlineStr">
        <is>
          <t>INC</t>
        </is>
      </c>
      <c r="K201" s="12" t="n">
        <v>-31</v>
      </c>
      <c r="L201" s="15">
        <f>I201-F201</f>
        <v/>
      </c>
      <c r="M201" s="12" t="n">
        <v>32</v>
      </c>
      <c r="N201" s="12" t="n">
        <v>411</v>
      </c>
    </row>
    <row r="202" ht="20" customHeight="1">
      <c r="A202" s="2" t="n">
        <v>201</v>
      </c>
      <c r="B202" s="3" t="inlineStr">
        <is>
          <t>Nanowal Khurd</t>
        </is>
      </c>
      <c r="C202" s="3" t="inlineStr">
        <is>
          <t>ਨਾਨੋਵਾਲ ਖੁਰਦ</t>
        </is>
      </c>
      <c r="D202" s="16" t="inlineStr">
        <is>
          <t>Lost Both Times (Deficit)</t>
        </is>
      </c>
      <c r="E202" s="5" t="n">
        <v>195</v>
      </c>
      <c r="F202" s="6">
        <f>195/635</f>
        <v/>
      </c>
      <c r="G202" s="7" t="inlineStr">
        <is>
          <t>SAD</t>
        </is>
      </c>
      <c r="H202" s="5" t="n">
        <v>188</v>
      </c>
      <c r="I202" s="6">
        <f>188/525</f>
        <v/>
      </c>
      <c r="J202" s="7" t="inlineStr">
        <is>
          <t>AAP</t>
        </is>
      </c>
      <c r="K202" s="5" t="n">
        <v>-7</v>
      </c>
      <c r="L202" s="8">
        <f>I202-F202</f>
        <v/>
      </c>
      <c r="M202" s="5" t="n">
        <v>1</v>
      </c>
      <c r="N202" s="5" t="n">
        <v>525</v>
      </c>
    </row>
    <row r="203" ht="20" customHeight="1">
      <c r="A203" s="9" t="n">
        <v>202</v>
      </c>
      <c r="B203" s="10" t="inlineStr">
        <is>
          <t>Mehrey</t>
        </is>
      </c>
      <c r="C203" s="10" t="inlineStr">
        <is>
          <t>ਮੈਹੜੇ</t>
        </is>
      </c>
      <c r="D203" s="16" t="inlineStr">
        <is>
          <t>Lost Both Times (Deficit)</t>
        </is>
      </c>
      <c r="E203" s="12" t="n">
        <v>96</v>
      </c>
      <c r="F203" s="13">
        <f>96/420</f>
        <v/>
      </c>
      <c r="G203" s="14" t="inlineStr">
        <is>
          <t>SAD</t>
        </is>
      </c>
      <c r="H203" s="12" t="n">
        <v>117</v>
      </c>
      <c r="I203" s="13">
        <f>117/354</f>
        <v/>
      </c>
      <c r="J203" s="14" t="inlineStr">
        <is>
          <t>AAP</t>
        </is>
      </c>
      <c r="K203" s="12" t="n">
        <v>21</v>
      </c>
      <c r="L203" s="15">
        <f>I203-F203</f>
        <v/>
      </c>
      <c r="M203" s="12" t="n">
        <v>2</v>
      </c>
      <c r="N203" s="12" t="n">
        <v>354</v>
      </c>
    </row>
    <row r="204" ht="20" customHeight="1">
      <c r="A204" s="2" t="n">
        <v>203</v>
      </c>
      <c r="B204" s="3" t="inlineStr">
        <is>
          <t>Bhaini Mian Khan</t>
        </is>
      </c>
      <c r="C204" s="3" t="inlineStr">
        <is>
          <t>ਭੈਣੀ ਮੀਆਂ ਖਾਂ</t>
        </is>
      </c>
      <c r="D204" s="18" t="inlineStr">
        <is>
          <t>Lost in 2024 (to AAP)</t>
        </is>
      </c>
      <c r="E204" s="5" t="n">
        <v>384</v>
      </c>
      <c r="F204" s="6">
        <f>384/865</f>
        <v/>
      </c>
      <c r="G204" s="7" t="inlineStr">
        <is>
          <t>INC</t>
        </is>
      </c>
      <c r="H204" s="5" t="n">
        <v>173</v>
      </c>
      <c r="I204" s="6">
        <f>173/788</f>
        <v/>
      </c>
      <c r="J204" s="7" t="inlineStr">
        <is>
          <t>AAP</t>
        </is>
      </c>
      <c r="K204" s="5" t="n">
        <v>-211</v>
      </c>
      <c r="L204" s="8">
        <f>I204-F204</f>
        <v/>
      </c>
      <c r="M204" s="5" t="n">
        <v>116</v>
      </c>
      <c r="N204" s="5" t="n">
        <v>788</v>
      </c>
    </row>
    <row r="205" ht="20" customHeight="1">
      <c r="A205" s="9" t="n">
        <v>204</v>
      </c>
      <c r="B205" s="10" t="inlineStr">
        <is>
          <t>Bhaini Mian Khan</t>
        </is>
      </c>
      <c r="C205" s="10" t="inlineStr">
        <is>
          <t>ਭੈਣੀ ਮੀਆਂ ਖਾਂ</t>
        </is>
      </c>
      <c r="D205" s="11" t="inlineStr">
        <is>
          <t>Won Both Times (Stronghold)</t>
        </is>
      </c>
      <c r="E205" s="12" t="n">
        <v>317</v>
      </c>
      <c r="F205" s="13">
        <f>317/852</f>
        <v/>
      </c>
      <c r="G205" s="14" t="inlineStr">
        <is>
          <t>INC</t>
        </is>
      </c>
      <c r="H205" s="12" t="n">
        <v>217</v>
      </c>
      <c r="I205" s="13">
        <f>217/736</f>
        <v/>
      </c>
      <c r="J205" s="14" t="inlineStr">
        <is>
          <t>INC</t>
        </is>
      </c>
      <c r="K205" s="12" t="n">
        <v>-100</v>
      </c>
      <c r="L205" s="15">
        <f>I205-F205</f>
        <v/>
      </c>
      <c r="M205" s="12" t="n">
        <v>25</v>
      </c>
      <c r="N205" s="12" t="n">
        <v>736</v>
      </c>
    </row>
    <row r="206" ht="20" customHeight="1">
      <c r="A206" s="2" t="n">
        <v>205</v>
      </c>
      <c r="B206" s="3" t="inlineStr">
        <is>
          <t>Jhanda Lubana</t>
        </is>
      </c>
      <c r="C206" s="3" t="inlineStr">
        <is>
          <t>ਝੰਡਾ ਲੁਬਾਣਾ</t>
        </is>
      </c>
      <c r="D206" s="16" t="inlineStr">
        <is>
          <t>Lost Both Times (Deficit)</t>
        </is>
      </c>
      <c r="E206" s="5" t="n">
        <v>195</v>
      </c>
      <c r="F206" s="6">
        <f>195/613</f>
        <v/>
      </c>
      <c r="G206" s="7" t="inlineStr">
        <is>
          <t>SAD</t>
        </is>
      </c>
      <c r="H206" s="5" t="n">
        <v>194</v>
      </c>
      <c r="I206" s="6">
        <f>194/547</f>
        <v/>
      </c>
      <c r="J206" s="7" t="inlineStr">
        <is>
          <t>AAP</t>
        </is>
      </c>
      <c r="K206" s="5" t="n">
        <v>-1</v>
      </c>
      <c r="L206" s="8">
        <f>I206-F206</f>
        <v/>
      </c>
      <c r="M206" s="5" t="n">
        <v>44</v>
      </c>
      <c r="N206" s="5" t="n">
        <v>547</v>
      </c>
    </row>
    <row r="207" ht="20" customHeight="1">
      <c r="A207" s="9" t="n">
        <v>206</v>
      </c>
      <c r="B207" s="10" t="inlineStr">
        <is>
          <t>Jhanda Lubana</t>
        </is>
      </c>
      <c r="C207" s="10" t="inlineStr">
        <is>
          <t>ਝੰਡਾ ਲੁਬਾਣਾ</t>
        </is>
      </c>
      <c r="D207" s="11" t="inlineStr">
        <is>
          <t>Won Both Times (Stronghold)</t>
        </is>
      </c>
      <c r="E207" s="12" t="n">
        <v>209</v>
      </c>
      <c r="F207" s="13">
        <f>209/510</f>
        <v/>
      </c>
      <c r="G207" s="14" t="inlineStr">
        <is>
          <t>INC</t>
        </is>
      </c>
      <c r="H207" s="12" t="n">
        <v>200</v>
      </c>
      <c r="I207" s="13">
        <f>200/442</f>
        <v/>
      </c>
      <c r="J207" s="14" t="inlineStr">
        <is>
          <t>INC</t>
        </is>
      </c>
      <c r="K207" s="12" t="n">
        <v>-9</v>
      </c>
      <c r="L207" s="15">
        <f>I207-F207</f>
        <v/>
      </c>
      <c r="M207" s="12" t="n">
        <v>16</v>
      </c>
      <c r="N207" s="12" t="n">
        <v>442</v>
      </c>
    </row>
    <row r="208" ht="20" customHeight="1">
      <c r="A208" s="2" t="n">
        <v>207</v>
      </c>
      <c r="B208" s="3" t="inlineStr">
        <is>
          <t>Dhandoi</t>
        </is>
      </c>
      <c r="C208" s="3" t="inlineStr">
        <is>
          <t>ਧਾਂਦੋਈ</t>
        </is>
      </c>
      <c r="D208" s="11" t="inlineStr">
        <is>
          <t>Won Both Times (Stronghold)</t>
        </is>
      </c>
      <c r="E208" s="5" t="n">
        <v>308</v>
      </c>
      <c r="F208" s="6">
        <f>308/581</f>
        <v/>
      </c>
      <c r="G208" s="7" t="inlineStr">
        <is>
          <t>INC</t>
        </is>
      </c>
      <c r="H208" s="5" t="n">
        <v>191</v>
      </c>
      <c r="I208" s="6">
        <f>191/499</f>
        <v/>
      </c>
      <c r="J208" s="7" t="inlineStr">
        <is>
          <t>INC</t>
        </is>
      </c>
      <c r="K208" s="5" t="n">
        <v>-117</v>
      </c>
      <c r="L208" s="8">
        <f>I208-F208</f>
        <v/>
      </c>
      <c r="M208" s="5" t="n">
        <v>55</v>
      </c>
      <c r="N208" s="5" t="n">
        <v>499</v>
      </c>
    </row>
    <row r="209" ht="20" customHeight="1">
      <c r="A209" s="9" t="n">
        <v>208</v>
      </c>
      <c r="B209" s="10" t="inlineStr">
        <is>
          <t>Chhichhda</t>
        </is>
      </c>
      <c r="C209" s="10" t="inlineStr">
        <is>
          <t>ਛਿੱਛੜਾ</t>
        </is>
      </c>
      <c r="D209" s="11" t="inlineStr">
        <is>
          <t>Won Both Times (Stronghold)</t>
        </is>
      </c>
      <c r="E209" s="12" t="n">
        <v>240</v>
      </c>
      <c r="F209" s="13">
        <f>240/550</f>
        <v/>
      </c>
      <c r="G209" s="14" t="inlineStr">
        <is>
          <t>INC</t>
        </is>
      </c>
      <c r="H209" s="12" t="n">
        <v>213</v>
      </c>
      <c r="I209" s="13">
        <f>213/527</f>
        <v/>
      </c>
      <c r="J209" s="14" t="inlineStr">
        <is>
          <t>INC</t>
        </is>
      </c>
      <c r="K209" s="12" t="n">
        <v>-27</v>
      </c>
      <c r="L209" s="15">
        <f>I209-F209</f>
        <v/>
      </c>
      <c r="M209" s="12" t="n">
        <v>29</v>
      </c>
      <c r="N209" s="12" t="n">
        <v>527</v>
      </c>
    </row>
    <row r="210" ht="20" customHeight="1">
      <c r="A210" s="2" t="n">
        <v>209</v>
      </c>
      <c r="B210" s="3" t="inlineStr">
        <is>
          <t>Raju Bela</t>
        </is>
      </c>
      <c r="C210" s="3" t="inlineStr">
        <is>
          <t>ਰਾਜੂ ਬੇਲਾ</t>
        </is>
      </c>
      <c r="D210" s="11" t="inlineStr">
        <is>
          <t>Won Both Times (Stronghold)</t>
        </is>
      </c>
      <c r="E210" s="5" t="n">
        <v>496</v>
      </c>
      <c r="F210" s="6">
        <f>496/864</f>
        <v/>
      </c>
      <c r="G210" s="7" t="inlineStr">
        <is>
          <t>INC</t>
        </is>
      </c>
      <c r="H210" s="5" t="n">
        <v>353</v>
      </c>
      <c r="I210" s="6">
        <f>353/765</f>
        <v/>
      </c>
      <c r="J210" s="7" t="inlineStr">
        <is>
          <t>INC</t>
        </is>
      </c>
      <c r="K210" s="5" t="n">
        <v>-143</v>
      </c>
      <c r="L210" s="8">
        <f>I210-F210</f>
        <v/>
      </c>
      <c r="M210" s="5" t="n">
        <v>37</v>
      </c>
      <c r="N210" s="5" t="n">
        <v>765</v>
      </c>
    </row>
    <row r="211" ht="20" customHeight="1">
      <c r="A211" s="9" t="n">
        <v>210</v>
      </c>
      <c r="B211" s="10" t="inlineStr">
        <is>
          <t>Alma</t>
        </is>
      </c>
      <c r="C211" s="10" t="inlineStr">
        <is>
          <t>ਆਲਮਾ</t>
        </is>
      </c>
      <c r="D211" s="11" t="inlineStr">
        <is>
          <t>Won Both Times (Stronghold)</t>
        </is>
      </c>
      <c r="E211" s="12" t="n">
        <v>380</v>
      </c>
      <c r="F211" s="13">
        <f>380/619</f>
        <v/>
      </c>
      <c r="G211" s="14" t="inlineStr">
        <is>
          <t>INC</t>
        </is>
      </c>
      <c r="H211" s="12" t="n">
        <v>240</v>
      </c>
      <c r="I211" s="13">
        <f>240/579</f>
        <v/>
      </c>
      <c r="J211" s="14" t="inlineStr">
        <is>
          <t>INC</t>
        </is>
      </c>
      <c r="K211" s="12" t="n">
        <v>-140</v>
      </c>
      <c r="L211" s="15">
        <f>I211-F211</f>
        <v/>
      </c>
      <c r="M211" s="12" t="n">
        <v>50</v>
      </c>
      <c r="N211" s="12" t="n">
        <v>579</v>
      </c>
    </row>
    <row r="212" ht="20" customHeight="1">
      <c r="A212" s="2" t="n">
        <v>211</v>
      </c>
      <c r="B212" s="3" t="inlineStr">
        <is>
          <t>Awan, Salarpur, Bishanpur, Kisana, Dhore Kalian, Kotli Gujran</t>
        </is>
      </c>
      <c r="C212" s="3" t="inlineStr">
        <is>
          <t>ਅਵਾਣ, ਸਲਾਰਪੁਰ, ਬਿਸਨਪੁਰ, ਕਿਸਾਨਾ, ਧੋਰੇ ਕਲੀਆਂ, ਕੋਟਲੀ ਗੁਜਰਾਂ</t>
        </is>
      </c>
      <c r="D212" s="11" t="inlineStr">
        <is>
          <t>Won Both Times (Stronghold)</t>
        </is>
      </c>
      <c r="E212" s="5" t="n">
        <v>271</v>
      </c>
      <c r="F212" s="6">
        <f>271/648</f>
        <v/>
      </c>
      <c r="G212" s="7" t="inlineStr">
        <is>
          <t>INC</t>
        </is>
      </c>
      <c r="H212" s="5" t="n">
        <v>235</v>
      </c>
      <c r="I212" s="6">
        <f>235/588</f>
        <v/>
      </c>
      <c r="J212" s="7" t="inlineStr">
        <is>
          <t>INC</t>
        </is>
      </c>
      <c r="K212" s="5" t="n">
        <v>-36</v>
      </c>
      <c r="L212" s="8">
        <f>I212-F212</f>
        <v/>
      </c>
      <c r="M212" s="5" t="n">
        <v>54</v>
      </c>
      <c r="N212" s="5" t="n">
        <v>588</v>
      </c>
    </row>
    <row r="213" ht="20" customHeight="1">
      <c r="A213" s="9" t="n">
        <v>212</v>
      </c>
      <c r="B213" s="10" t="inlineStr">
        <is>
          <t>Mochpur</t>
        </is>
      </c>
      <c r="C213" s="10" t="inlineStr">
        <is>
          <t>ਮੋਚਪੁਰ</t>
        </is>
      </c>
      <c r="D213" s="11" t="inlineStr">
        <is>
          <t>Won Both Times (Stronghold)</t>
        </is>
      </c>
      <c r="E213" s="12" t="n">
        <v>450</v>
      </c>
      <c r="F213" s="13">
        <f>450/815</f>
        <v/>
      </c>
      <c r="G213" s="14" t="inlineStr">
        <is>
          <t>INC</t>
        </is>
      </c>
      <c r="H213" s="12" t="n">
        <v>556</v>
      </c>
      <c r="I213" s="13">
        <f>556/853</f>
        <v/>
      </c>
      <c r="J213" s="14" t="inlineStr">
        <is>
          <t>INC</t>
        </is>
      </c>
      <c r="K213" s="12" t="n">
        <v>106</v>
      </c>
      <c r="L213" s="15">
        <f>I213-F213</f>
        <v/>
      </c>
      <c r="M213" s="12" t="n">
        <v>343</v>
      </c>
      <c r="N213" s="12" t="n">
        <v>853</v>
      </c>
    </row>
    <row r="214" ht="20" customHeight="1">
      <c r="A214" s="2" t="n">
        <v>213</v>
      </c>
      <c r="B214" s="3" t="inlineStr">
        <is>
          <t>Navian Bagrian, Mitha</t>
        </is>
      </c>
      <c r="C214" s="3" t="inlineStr">
        <is>
          <t>ਨਵੀਆਂ ਬਗੜੀਆਂ, ਮਿਠਾ</t>
        </is>
      </c>
      <c r="D214" s="11" t="inlineStr">
        <is>
          <t>Won Both Times (Stronghold)</t>
        </is>
      </c>
      <c r="E214" s="5" t="n">
        <v>326</v>
      </c>
      <c r="F214" s="6">
        <f>326/815</f>
        <v/>
      </c>
      <c r="G214" s="7" t="inlineStr">
        <is>
          <t>INC</t>
        </is>
      </c>
      <c r="H214" s="5" t="n">
        <v>279</v>
      </c>
      <c r="I214" s="6">
        <f>279/637</f>
        <v/>
      </c>
      <c r="J214" s="7" t="inlineStr">
        <is>
          <t>INC</t>
        </is>
      </c>
      <c r="K214" s="5" t="n">
        <v>-47</v>
      </c>
      <c r="L214" s="8">
        <f>I214-F214</f>
        <v/>
      </c>
      <c r="M214" s="5" t="n">
        <v>81</v>
      </c>
      <c r="N214" s="5" t="n">
        <v>637</v>
      </c>
    </row>
    <row r="215" ht="20" customHeight="1">
      <c r="A215" s="9" t="n">
        <v>214</v>
      </c>
      <c r="B215" s="10" t="inlineStr">
        <is>
          <t>Bagrian</t>
        </is>
      </c>
      <c r="C215" s="10" t="inlineStr">
        <is>
          <t>ਬਾਗੜੀਆਂ</t>
        </is>
      </c>
      <c r="D215" s="18" t="inlineStr">
        <is>
          <t>Lost in 2024 (to BJP)</t>
        </is>
      </c>
      <c r="E215" s="12" t="n">
        <v>183</v>
      </c>
      <c r="F215" s="13">
        <f>183/594</f>
        <v/>
      </c>
      <c r="G215" s="14" t="inlineStr">
        <is>
          <t>INC</t>
        </is>
      </c>
      <c r="H215" s="12" t="n">
        <v>140</v>
      </c>
      <c r="I215" s="13">
        <f>140/500</f>
        <v/>
      </c>
      <c r="J215" s="14" t="inlineStr">
        <is>
          <t>BJP</t>
        </is>
      </c>
      <c r="K215" s="12" t="n">
        <v>-43</v>
      </c>
      <c r="L215" s="15">
        <f>I215-F215</f>
        <v/>
      </c>
      <c r="M215" s="12" t="n">
        <v>1</v>
      </c>
      <c r="N215" s="12" t="n">
        <v>500</v>
      </c>
    </row>
    <row r="216" ht="20" customHeight="1">
      <c r="A216" s="2" t="n">
        <v>215</v>
      </c>
      <c r="B216" s="3" t="inlineStr">
        <is>
          <t>Bagrian</t>
        </is>
      </c>
      <c r="C216" s="3" t="inlineStr">
        <is>
          <t>ਬਾਗੜੀਆਂ</t>
        </is>
      </c>
      <c r="D216" s="11" t="inlineStr">
        <is>
          <t>Won Both Times (Stronghold)</t>
        </is>
      </c>
      <c r="E216" s="5" t="n">
        <v>236</v>
      </c>
      <c r="F216" s="6">
        <f>236/586</f>
        <v/>
      </c>
      <c r="G216" s="7" t="inlineStr">
        <is>
          <t>INC</t>
        </is>
      </c>
      <c r="H216" s="5" t="n">
        <v>237</v>
      </c>
      <c r="I216" s="6">
        <f>237/529</f>
        <v/>
      </c>
      <c r="J216" s="7" t="inlineStr">
        <is>
          <t>INC</t>
        </is>
      </c>
      <c r="K216" s="5" t="n">
        <v>1</v>
      </c>
      <c r="L216" s="8">
        <f>I216-F216</f>
        <v/>
      </c>
      <c r="M216" s="5" t="n">
        <v>56</v>
      </c>
      <c r="N216" s="5" t="n">
        <v>529</v>
      </c>
    </row>
    <row r="217" ht="20" customHeight="1">
      <c r="A217" s="9" t="n">
        <v>216</v>
      </c>
      <c r="B217" s="10" t="inlineStr">
        <is>
          <t>Rajpura</t>
        </is>
      </c>
      <c r="C217" s="10" t="inlineStr">
        <is>
          <t>ਰਾਜਪੁਰਾ</t>
        </is>
      </c>
      <c r="D217" s="4" t="inlineStr">
        <is>
          <t>Gained in 2024 (New Win)</t>
        </is>
      </c>
      <c r="E217" s="12" t="n">
        <v>70</v>
      </c>
      <c r="F217" s="13">
        <f>70/332</f>
        <v/>
      </c>
      <c r="G217" s="14" t="inlineStr">
        <is>
          <t>SAD</t>
        </is>
      </c>
      <c r="H217" s="12" t="n">
        <v>132</v>
      </c>
      <c r="I217" s="13">
        <f>132/328</f>
        <v/>
      </c>
      <c r="J217" s="14" t="inlineStr">
        <is>
          <t>INC</t>
        </is>
      </c>
      <c r="K217" s="12" t="n">
        <v>62</v>
      </c>
      <c r="L217" s="15">
        <f>I217-F217</f>
        <v/>
      </c>
      <c r="M217" s="12" t="n">
        <v>17</v>
      </c>
      <c r="N217" s="12" t="n">
        <v>328</v>
      </c>
    </row>
    <row r="218" ht="20" customHeight="1">
      <c r="A218" s="2" t="n">
        <v>217</v>
      </c>
      <c r="B218" s="3" t="inlineStr">
        <is>
          <t>Bhaini Khadar</t>
        </is>
      </c>
      <c r="C218" s="3" t="inlineStr">
        <is>
          <t>ਭੈਣੀ ਖਾਦਰ</t>
        </is>
      </c>
      <c r="D218" s="11" t="inlineStr">
        <is>
          <t>Won Both Times (Stronghold)</t>
        </is>
      </c>
      <c r="E218" s="5" t="n">
        <v>199</v>
      </c>
      <c r="F218" s="6">
        <f>199/463</f>
        <v/>
      </c>
      <c r="G218" s="7" t="inlineStr">
        <is>
          <t>INC</t>
        </is>
      </c>
      <c r="H218" s="5" t="n">
        <v>230</v>
      </c>
      <c r="I218" s="6">
        <f>230/440</f>
        <v/>
      </c>
      <c r="J218" s="7" t="inlineStr">
        <is>
          <t>INC</t>
        </is>
      </c>
      <c r="K218" s="5" t="n">
        <v>31</v>
      </c>
      <c r="L218" s="8">
        <f>I218-F218</f>
        <v/>
      </c>
      <c r="M218" s="5" t="n">
        <v>141</v>
      </c>
      <c r="N218" s="5" t="n">
        <v>440</v>
      </c>
    </row>
    <row r="219" ht="20" customHeight="1">
      <c r="A219" s="9" t="n">
        <v>218</v>
      </c>
      <c r="B219" s="10" t="inlineStr">
        <is>
          <t>Mullanwal</t>
        </is>
      </c>
      <c r="C219" s="10" t="inlineStr">
        <is>
          <t>ਮੁੱਲਾਂਵਾਲ</t>
        </is>
      </c>
      <c r="D219" s="4" t="inlineStr">
        <is>
          <t>Gained in 2024 (New Win)</t>
        </is>
      </c>
      <c r="E219" s="12" t="n">
        <v>143</v>
      </c>
      <c r="F219" s="13">
        <f>143/707</f>
        <v/>
      </c>
      <c r="G219" s="14" t="inlineStr">
        <is>
          <t>AAP</t>
        </is>
      </c>
      <c r="H219" s="12" t="n">
        <v>277</v>
      </c>
      <c r="I219" s="13">
        <f>277/636</f>
        <v/>
      </c>
      <c r="J219" s="14" t="inlineStr">
        <is>
          <t>INC</t>
        </is>
      </c>
      <c r="K219" s="12" t="n">
        <v>134</v>
      </c>
      <c r="L219" s="15">
        <f>I219-F219</f>
        <v/>
      </c>
      <c r="M219" s="12" t="n">
        <v>99</v>
      </c>
      <c r="N219" s="12" t="n">
        <v>636</v>
      </c>
    </row>
    <row r="220" ht="20" customHeight="1">
      <c r="A220" s="2" t="n">
        <v>219</v>
      </c>
      <c r="B220" s="3" t="inlineStr">
        <is>
          <t>Paswal</t>
        </is>
      </c>
      <c r="C220" s="3" t="inlineStr">
        <is>
          <t>ਪਸਵਾਲ</t>
        </is>
      </c>
      <c r="D220" s="11" t="inlineStr">
        <is>
          <t>Won Both Times (Stronghold)</t>
        </is>
      </c>
      <c r="E220" s="5" t="n">
        <v>140</v>
      </c>
      <c r="F220" s="6">
        <f>140/302</f>
        <v/>
      </c>
      <c r="G220" s="7" t="inlineStr">
        <is>
          <t>INC</t>
        </is>
      </c>
      <c r="H220" s="5" t="n">
        <v>132</v>
      </c>
      <c r="I220" s="6">
        <f>132/285</f>
        <v/>
      </c>
      <c r="J220" s="7" t="inlineStr">
        <is>
          <t>INC</t>
        </is>
      </c>
      <c r="K220" s="5" t="n">
        <v>-8</v>
      </c>
      <c r="L220" s="8">
        <f>I220-F220</f>
        <v/>
      </c>
      <c r="M220" s="5" t="n">
        <v>26</v>
      </c>
      <c r="N220" s="5" t="n">
        <v>285</v>
      </c>
    </row>
    <row r="221" ht="20" customHeight="1">
      <c r="A221" s="9" t="n">
        <v>220</v>
      </c>
      <c r="B221" s="10" t="inlineStr">
        <is>
          <t>Fattu Barkat</t>
        </is>
      </c>
      <c r="C221" s="10" t="inlineStr">
        <is>
          <t>ਫੱਤੂ ਬਰਕਤ</t>
        </is>
      </c>
      <c r="D221" s="4" t="inlineStr">
        <is>
          <t>Gained in 2024 (New Win)</t>
        </is>
      </c>
      <c r="E221" s="12" t="n">
        <v>152</v>
      </c>
      <c r="F221" s="13">
        <f>152/614</f>
        <v/>
      </c>
      <c r="G221" s="14" t="inlineStr">
        <is>
          <t>AAP</t>
        </is>
      </c>
      <c r="H221" s="12" t="n">
        <v>248</v>
      </c>
      <c r="I221" s="13">
        <f>248/576</f>
        <v/>
      </c>
      <c r="J221" s="14" t="inlineStr">
        <is>
          <t>INC</t>
        </is>
      </c>
      <c r="K221" s="12" t="n">
        <v>96</v>
      </c>
      <c r="L221" s="15">
        <f>I221-F221</f>
        <v/>
      </c>
      <c r="M221" s="12" t="n">
        <v>96</v>
      </c>
      <c r="N221" s="12" t="n">
        <v>576</v>
      </c>
    </row>
    <row r="222" ht="20" customHeight="1">
      <c r="A222" s="2" t="n">
        <v>221</v>
      </c>
      <c r="B222" s="3" t="inlineStr">
        <is>
          <t>Noon</t>
        </is>
      </c>
      <c r="C222" s="3" t="inlineStr">
        <is>
          <t>ਨੂੰਨ</t>
        </is>
      </c>
      <c r="D222" s="16" t="inlineStr">
        <is>
          <t>Lost Both Times (Deficit)</t>
        </is>
      </c>
      <c r="E222" s="5" t="n">
        <v>176</v>
      </c>
      <c r="F222" s="6">
        <f>176/485</f>
        <v/>
      </c>
      <c r="G222" s="7" t="inlineStr">
        <is>
          <t>AAP</t>
        </is>
      </c>
      <c r="H222" s="5" t="n">
        <v>95</v>
      </c>
      <c r="I222" s="6">
        <f>95/471</f>
        <v/>
      </c>
      <c r="J222" s="7" t="inlineStr">
        <is>
          <t>AAP</t>
        </is>
      </c>
      <c r="K222" s="5" t="n">
        <v>-81</v>
      </c>
      <c r="L222" s="8">
        <f>I222-F222</f>
        <v/>
      </c>
      <c r="M222" s="5" t="n">
        <v>39</v>
      </c>
      <c r="N222" s="5" t="n">
        <v>471</v>
      </c>
    </row>
    <row r="223" ht="20" customHeight="1">
      <c r="A223" s="9" t="n">
        <v>222</v>
      </c>
      <c r="B223" s="10" t="inlineStr">
        <is>
          <t>Munnan, Ghulla Thatha</t>
        </is>
      </c>
      <c r="C223" s="10" t="inlineStr">
        <is>
          <t>ਮੁੰਨਣ, ਘੁੱਲਾ ਥਾਥਾ</t>
        </is>
      </c>
      <c r="D223" s="11" t="inlineStr">
        <is>
          <t>Won Both Times (Stronghold)</t>
        </is>
      </c>
      <c r="E223" s="12" t="n">
        <v>258</v>
      </c>
      <c r="F223" s="13">
        <f>258/523</f>
        <v/>
      </c>
      <c r="G223" s="14" t="inlineStr">
        <is>
          <t>INC</t>
        </is>
      </c>
      <c r="H223" s="12" t="n">
        <v>227</v>
      </c>
      <c r="I223" s="13">
        <f>227/480</f>
        <v/>
      </c>
      <c r="J223" s="14" t="inlineStr">
        <is>
          <t>INC</t>
        </is>
      </c>
      <c r="K223" s="12" t="n">
        <v>-31</v>
      </c>
      <c r="L223" s="15">
        <f>I223-F223</f>
        <v/>
      </c>
      <c r="M223" s="12" t="n">
        <v>104</v>
      </c>
      <c r="N223" s="12" t="n">
        <v>480</v>
      </c>
    </row>
    <row r="224" ht="20" customHeight="1">
      <c r="A224" s="2" t="n">
        <v>223</v>
      </c>
      <c r="B224" s="3" t="inlineStr">
        <is>
          <t>Phulrha</t>
        </is>
      </c>
      <c r="C224" s="3" t="inlineStr">
        <is>
          <t>ਫੁੱਲੜਾ</t>
        </is>
      </c>
      <c r="D224" s="18" t="inlineStr">
        <is>
          <t>Lost in 2024 (to SAD)</t>
        </is>
      </c>
      <c r="E224" s="5" t="n">
        <v>255</v>
      </c>
      <c r="F224" s="6">
        <f>255/505</f>
        <v/>
      </c>
      <c r="G224" s="7" t="inlineStr">
        <is>
          <t>INC</t>
        </is>
      </c>
      <c r="H224" s="5" t="n">
        <v>171</v>
      </c>
      <c r="I224" s="6">
        <f>171/464</f>
        <v/>
      </c>
      <c r="J224" s="7" t="inlineStr">
        <is>
          <t>SAD</t>
        </is>
      </c>
      <c r="K224" s="5" t="n">
        <v>-84</v>
      </c>
      <c r="L224" s="8">
        <f>I224-F224</f>
        <v/>
      </c>
      <c r="M224" s="5" t="n">
        <v>35</v>
      </c>
      <c r="N224" s="5" t="n">
        <v>464</v>
      </c>
    </row>
    <row r="225" ht="24" customHeight="1">
      <c r="A225" s="24" t="inlineStr">
        <is>
          <t>TOTAL</t>
        </is>
      </c>
      <c r="B225" s="24" t="inlineStr">
        <is>
          <t>223 Booths</t>
        </is>
      </c>
      <c r="C225" s="24" t="inlineStr">
        <is>
          <t>Constituency Total</t>
        </is>
      </c>
      <c r="D225" s="24" t="inlineStr">
        <is>
          <t>INC Summary</t>
        </is>
      </c>
      <c r="E225" s="25">
        <f>SUM(E2:E224)</f>
        <v/>
      </c>
      <c r="F225" s="26">
        <f>E225/SUM(N2:N224)</f>
        <v/>
      </c>
      <c r="G225" s="24" t="inlineStr">
        <is>
          <t>Bajwa Won</t>
        </is>
      </c>
      <c r="H225" s="25">
        <f>SUM(H2:H224)</f>
        <v/>
      </c>
      <c r="I225" s="26">
        <f>H225/SUM(N2:N224)</f>
        <v/>
      </c>
      <c r="J225" s="24" t="inlineStr">
        <is>
          <t>Randhawa Won</t>
        </is>
      </c>
      <c r="K225" s="25">
        <f>H225-E225</f>
        <v/>
      </c>
      <c r="L225" s="27">
        <f>I225-F225</f>
        <v/>
      </c>
      <c r="M225" s="25">
        <f>SUM(M2:M224)</f>
        <v/>
      </c>
      <c r="N225" s="25">
        <f>SUM(N2:N224)</f>
        <v/>
      </c>
    </row>
  </sheetData>
  <pageMargins left="0.75" right="0.75" top="1" bottom="1" header="0.5" footer="0.5"/>
  <headerFooter>
    <oddHeader>&amp;CDSIDEIN FIELD INTELLIGENCE | https://dsidein.com/qadian-2022-2024</oddHeader>
    <oddFooter>&amp;C18-Qadian Assembly Segment (2022 vs 2024) —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45" customWidth="1" min="3" max="3"/>
    <col width="17" customWidth="1" min="4" max="4"/>
    <col width="19" customWidth="1" min="5" max="5"/>
    <col width="14" customWidth="1" min="6" max="6"/>
    <col width="16" customWidth="1" min="7" max="7"/>
  </cols>
  <sheetData>
    <row r="1">
      <c r="A1" s="28" t="inlineStr">
        <is>
          <t>AAP (AAM AADMI PARTY) - STRATEGIC BOOTH CLUSTERS</t>
        </is>
      </c>
    </row>
    <row r="2">
      <c r="A2" s="29" t="inlineStr">
        <is>
          <t>Breakdown of Strongholds, Flipped Gains, At-Risk Losses, and Weak Booths</t>
        </is>
      </c>
    </row>
    <row r="3"/>
    <row r="4">
      <c r="A4" s="30" t="inlineStr">
        <is>
          <t>Category</t>
        </is>
      </c>
      <c r="B4" s="30" t="inlineStr">
        <is>
          <t>Booth Count</t>
        </is>
      </c>
      <c r="C4" s="30" t="inlineStr">
        <is>
          <t>Strategic Takeaway</t>
        </is>
      </c>
    </row>
    <row r="5">
      <c r="A5" s="31" t="inlineStr">
        <is>
          <t>Won Both Times (Strongholds)</t>
        </is>
      </c>
      <c r="B5" s="32" t="n">
        <v>18</v>
      </c>
      <c r="C5" s="33" t="inlineStr">
        <is>
          <t>Consistently held in 2022 &amp; 2024</t>
        </is>
      </c>
    </row>
    <row r="6">
      <c r="A6" s="34" t="inlineStr">
        <is>
          <t>Gained in 2024 (Flipped in favor)</t>
        </is>
      </c>
      <c r="B6" s="35" t="n">
        <v>63</v>
      </c>
      <c r="C6" s="33" t="inlineStr">
        <is>
          <t>Won in 2024, previously held by INC or SAD</t>
        </is>
      </c>
    </row>
    <row r="7">
      <c r="A7" s="36" t="inlineStr">
        <is>
          <t>Lost in 2024 (Flipped away)</t>
        </is>
      </c>
      <c r="B7" s="37" t="n">
        <v>39</v>
      </c>
      <c r="C7" s="33" t="inlineStr">
        <is>
          <t>Won in 2022, lost to INC/BJP in 2024</t>
        </is>
      </c>
    </row>
    <row r="8">
      <c r="A8" s="38" t="inlineStr">
        <is>
          <t>Weak Booths (&lt; 20% Vote Share)</t>
        </is>
      </c>
      <c r="B8" s="39" t="n">
        <v>31</v>
      </c>
      <c r="C8" s="33" t="inlineStr">
        <is>
          <t>Critically low support base in 2024</t>
        </is>
      </c>
    </row>
    <row r="9">
      <c r="A9" s="40" t="inlineStr">
        <is>
          <t>Lost Both Times (Deficit)</t>
        </is>
      </c>
      <c r="B9" s="41" t="n">
        <v>103</v>
      </c>
      <c r="C9" s="33" t="inlineStr">
        <is>
          <t>Opponent bastions in both elections</t>
        </is>
      </c>
    </row>
    <row r="10"/>
    <row r="11"/>
    <row r="12">
      <c r="A12" s="42" t="inlineStr">
        <is>
          <t>Top 15 AAP Strongholds (Highest Votes in 2024)</t>
        </is>
      </c>
    </row>
    <row r="13">
      <c r="A13" s="43" t="inlineStr">
        <is>
          <t>Booth No</t>
        </is>
      </c>
      <c r="B13" s="43" t="inlineStr">
        <is>
          <t>Village (English)</t>
        </is>
      </c>
      <c r="C13" s="43" t="inlineStr">
        <is>
          <t>Village (Punjabi)</t>
        </is>
      </c>
      <c r="D13" s="43" t="inlineStr">
        <is>
          <t>2024 AAP Votes</t>
        </is>
      </c>
      <c r="E13" s="43" t="inlineStr">
        <is>
          <t>2024 AAP Share %</t>
        </is>
      </c>
      <c r="F13" s="43" t="inlineStr">
        <is>
          <t>2024 Margin</t>
        </is>
      </c>
      <c r="G13" s="43" t="inlineStr">
        <is>
          <t>2022 Result</t>
        </is>
      </c>
    </row>
    <row r="14">
      <c r="A14" s="44" t="n">
        <v>144</v>
      </c>
      <c r="B14" s="10" t="inlineStr">
        <is>
          <t>Qadian Ward No. 8</t>
        </is>
      </c>
      <c r="C14" s="10" t="inlineStr">
        <is>
          <t>ਕਾਦੀਆਂ ਵਾਰਡ ਨੰ. 8</t>
        </is>
      </c>
      <c r="D14" s="44" t="n">
        <v>700</v>
      </c>
      <c r="E14" s="44" t="inlineStr">
        <is>
          <t>85.89%</t>
        </is>
      </c>
      <c r="F14" s="44" t="inlineStr">
        <is>
          <t>+622 lead</t>
        </is>
      </c>
      <c r="G14" s="44" t="inlineStr">
        <is>
          <t>INC (+228)</t>
        </is>
      </c>
    </row>
    <row r="15">
      <c r="A15" s="44" t="n">
        <v>126</v>
      </c>
      <c r="B15" s="10" t="inlineStr">
        <is>
          <t>Ladhupur</t>
        </is>
      </c>
      <c r="C15" s="10" t="inlineStr">
        <is>
          <t>ਲਾਧੂਪੁਰ</t>
        </is>
      </c>
      <c r="D15" s="44" t="n">
        <v>388</v>
      </c>
      <c r="E15" s="44" t="inlineStr">
        <is>
          <t>60.44%</t>
        </is>
      </c>
      <c r="F15" s="44" t="inlineStr">
        <is>
          <t>+225 lead</t>
        </is>
      </c>
      <c r="G15" s="44" t="inlineStr">
        <is>
          <t>SAD (+200)</t>
        </is>
      </c>
    </row>
    <row r="16">
      <c r="A16" s="44" t="n">
        <v>115</v>
      </c>
      <c r="B16" s="10" t="inlineStr">
        <is>
          <t>Kishanpur, Kathana, Yodhe</t>
        </is>
      </c>
      <c r="C16" s="10" t="inlineStr">
        <is>
          <t>ਕਿਸ਼ਨਪੁਰ, ਕਠਾਣਾ, ਯੋਧੇ</t>
        </is>
      </c>
      <c r="D16" s="44" t="n">
        <v>373</v>
      </c>
      <c r="E16" s="44" t="inlineStr">
        <is>
          <t>56.01%</t>
        </is>
      </c>
      <c r="F16" s="44" t="inlineStr">
        <is>
          <t>+159 lead</t>
        </is>
      </c>
      <c r="G16" s="44" t="inlineStr">
        <is>
          <t>INC (+50)</t>
        </is>
      </c>
    </row>
    <row r="17">
      <c r="A17" s="44" t="n">
        <v>61</v>
      </c>
      <c r="B17" s="10" t="inlineStr">
        <is>
          <t>Khundi</t>
        </is>
      </c>
      <c r="C17" s="10" t="inlineStr">
        <is>
          <t>ਖੁੰਡੀ</t>
        </is>
      </c>
      <c r="D17" s="44" t="n">
        <v>365</v>
      </c>
      <c r="E17" s="44" t="inlineStr">
        <is>
          <t>55.05%</t>
        </is>
      </c>
      <c r="F17" s="44" t="inlineStr">
        <is>
          <t>+174 lead</t>
        </is>
      </c>
      <c r="G17" s="44" t="inlineStr">
        <is>
          <t>SAD (+50)</t>
        </is>
      </c>
    </row>
    <row r="18">
      <c r="A18" s="44" t="n">
        <v>73</v>
      </c>
      <c r="B18" s="10" t="inlineStr">
        <is>
          <t>Dehriwal Daroga</t>
        </is>
      </c>
      <c r="C18" s="10" t="inlineStr">
        <is>
          <t>ਡੇਹਰੀਵਾਲ ਦਰੋਗਾ</t>
        </is>
      </c>
      <c r="D18" s="44" t="n">
        <v>360</v>
      </c>
      <c r="E18" s="44" t="inlineStr">
        <is>
          <t>45.51%</t>
        </is>
      </c>
      <c r="F18" s="44" t="inlineStr">
        <is>
          <t>+133 lead</t>
        </is>
      </c>
      <c r="G18" s="44" t="inlineStr">
        <is>
          <t>AAP (+48)</t>
        </is>
      </c>
    </row>
    <row r="19">
      <c r="A19" s="44" t="n">
        <v>53</v>
      </c>
      <c r="B19" s="10" t="inlineStr">
        <is>
          <t>Fateh Nangal</t>
        </is>
      </c>
      <c r="C19" s="10" t="inlineStr">
        <is>
          <t>ਫਤਿਹ ਨੰਗਲ</t>
        </is>
      </c>
      <c r="D19" s="44" t="n">
        <v>325</v>
      </c>
      <c r="E19" s="44" t="inlineStr">
        <is>
          <t>44.4%</t>
        </is>
      </c>
      <c r="F19" s="44" t="inlineStr">
        <is>
          <t>+17 lead</t>
        </is>
      </c>
      <c r="G19" s="44" t="inlineStr">
        <is>
          <t>INC (+93)</t>
        </is>
      </c>
    </row>
    <row r="20">
      <c r="A20" s="44" t="n">
        <v>209</v>
      </c>
      <c r="B20" s="10" t="inlineStr">
        <is>
          <t>Raju Bela</t>
        </is>
      </c>
      <c r="C20" s="10" t="inlineStr">
        <is>
          <t>ਰਾਜੂ ਬੇਲਾ</t>
        </is>
      </c>
      <c r="D20" s="44" t="n">
        <v>316</v>
      </c>
      <c r="E20" s="44" t="inlineStr">
        <is>
          <t>41.31%</t>
        </is>
      </c>
      <c r="F20" s="44" t="inlineStr">
        <is>
          <t>+37 lead</t>
        </is>
      </c>
      <c r="G20" s="44" t="inlineStr">
        <is>
          <t>INC (+223)</t>
        </is>
      </c>
    </row>
    <row r="21">
      <c r="A21" s="44" t="n">
        <v>203</v>
      </c>
      <c r="B21" s="10" t="inlineStr">
        <is>
          <t>Bhaini Mian Khan</t>
        </is>
      </c>
      <c r="C21" s="10" t="inlineStr">
        <is>
          <t>ਭੈਣੀ ਮੀਆਂ ਖਾਂ</t>
        </is>
      </c>
      <c r="D21" s="44" t="n">
        <v>310</v>
      </c>
      <c r="E21" s="44" t="inlineStr">
        <is>
          <t>39.34%</t>
        </is>
      </c>
      <c r="F21" s="44" t="inlineStr">
        <is>
          <t>+116 lead</t>
        </is>
      </c>
      <c r="G21" s="44" t="inlineStr">
        <is>
          <t>INC (+98)</t>
        </is>
      </c>
    </row>
    <row r="22">
      <c r="A22" s="44" t="n">
        <v>85</v>
      </c>
      <c r="B22" s="10" t="inlineStr">
        <is>
          <t>Jogi Cheema + Chamiyari</t>
        </is>
      </c>
      <c r="C22" s="10" t="inlineStr">
        <is>
          <t>ਜੋਗੀ ਚੀਮਾ + ਚਮਿਆਰੀ</t>
        </is>
      </c>
      <c r="D22" s="44" t="n">
        <v>309</v>
      </c>
      <c r="E22" s="44" t="inlineStr">
        <is>
          <t>45.58%</t>
        </is>
      </c>
      <c r="F22" s="44" t="inlineStr">
        <is>
          <t>+97 lead</t>
        </is>
      </c>
      <c r="G22" s="44" t="inlineStr">
        <is>
          <t>INC (+33)</t>
        </is>
      </c>
    </row>
    <row r="23">
      <c r="A23" s="44" t="n">
        <v>108</v>
      </c>
      <c r="B23" s="10" t="inlineStr">
        <is>
          <t>Darapur, Jangal</t>
        </is>
      </c>
      <c r="C23" s="10" t="inlineStr">
        <is>
          <t>ਦਾਰਾਪੁਰ, ਜੰਗਲ</t>
        </is>
      </c>
      <c r="D23" s="44" t="n">
        <v>306</v>
      </c>
      <c r="E23" s="44" t="inlineStr">
        <is>
          <t>37.05%</t>
        </is>
      </c>
      <c r="F23" s="44" t="inlineStr">
        <is>
          <t>+26 lead</t>
        </is>
      </c>
      <c r="G23" s="44" t="inlineStr">
        <is>
          <t>INC (+50)</t>
        </is>
      </c>
    </row>
    <row r="24">
      <c r="A24" s="44" t="n">
        <v>48</v>
      </c>
      <c r="B24" s="10" t="inlineStr">
        <is>
          <t>Daddwan</t>
        </is>
      </c>
      <c r="C24" s="10" t="inlineStr">
        <is>
          <t>ਡੱਡਵਾਂ</t>
        </is>
      </c>
      <c r="D24" s="44" t="n">
        <v>305</v>
      </c>
      <c r="E24" s="44" t="inlineStr">
        <is>
          <t>44.2%</t>
        </is>
      </c>
      <c r="F24" s="44" t="inlineStr">
        <is>
          <t>+56 lead</t>
        </is>
      </c>
      <c r="G24" s="44" t="inlineStr">
        <is>
          <t>INC (+199)</t>
        </is>
      </c>
    </row>
    <row r="25">
      <c r="A25" s="44" t="n">
        <v>54</v>
      </c>
      <c r="B25" s="10" t="inlineStr">
        <is>
          <t>Fateh Nangal</t>
        </is>
      </c>
      <c r="C25" s="10" t="inlineStr">
        <is>
          <t>ਫਤਿਹ ਨੰਗਲ</t>
        </is>
      </c>
      <c r="D25" s="44" t="n">
        <v>299</v>
      </c>
      <c r="E25" s="44" t="inlineStr">
        <is>
          <t>41.94%</t>
        </is>
      </c>
      <c r="F25" s="44" t="inlineStr">
        <is>
          <t>+66 lead</t>
        </is>
      </c>
      <c r="G25" s="44" t="inlineStr">
        <is>
          <t>INC (+66)</t>
        </is>
      </c>
    </row>
    <row r="26">
      <c r="A26" s="44" t="n">
        <v>138</v>
      </c>
      <c r="B26" s="10" t="inlineStr">
        <is>
          <t>Waraich</t>
        </is>
      </c>
      <c r="C26" s="10" t="inlineStr">
        <is>
          <t>ਵੜੈਚ</t>
        </is>
      </c>
      <c r="D26" s="44" t="n">
        <v>298</v>
      </c>
      <c r="E26" s="44" t="inlineStr">
        <is>
          <t>41.74%</t>
        </is>
      </c>
      <c r="F26" s="44" t="inlineStr">
        <is>
          <t>+24 lead</t>
        </is>
      </c>
      <c r="G26" s="44" t="inlineStr">
        <is>
          <t>INC (+38)</t>
        </is>
      </c>
    </row>
    <row r="27">
      <c r="A27" s="44" t="n">
        <v>50</v>
      </c>
      <c r="B27" s="10" t="inlineStr">
        <is>
          <t>Kang</t>
        </is>
      </c>
      <c r="C27" s="10" t="inlineStr">
        <is>
          <t>ਕੰਗ</t>
        </is>
      </c>
      <c r="D27" s="44" t="n">
        <v>297</v>
      </c>
      <c r="E27" s="44" t="inlineStr">
        <is>
          <t>48.85%</t>
        </is>
      </c>
      <c r="F27" s="44" t="inlineStr">
        <is>
          <t>+139 lead</t>
        </is>
      </c>
      <c r="G27" s="44" t="inlineStr">
        <is>
          <t>INC (+176)</t>
        </is>
      </c>
    </row>
    <row r="28">
      <c r="A28" s="44" t="n">
        <v>59</v>
      </c>
      <c r="B28" s="10" t="inlineStr">
        <is>
          <t>Khunda</t>
        </is>
      </c>
      <c r="C28" s="10" t="inlineStr">
        <is>
          <t>ਖੁੰਡਾ</t>
        </is>
      </c>
      <c r="D28" s="44" t="n">
        <v>290</v>
      </c>
      <c r="E28" s="44" t="inlineStr">
        <is>
          <t>42.52%</t>
        </is>
      </c>
      <c r="F28" s="44" t="inlineStr">
        <is>
          <t>+24 lead</t>
        </is>
      </c>
      <c r="G28" s="44" t="inlineStr">
        <is>
          <t>SAD (+10)</t>
        </is>
      </c>
    </row>
    <row r="29"/>
    <row r="30"/>
    <row r="31">
      <c r="A31" s="42" t="inlineStr">
        <is>
          <t>Top 15 Weakest Booths for AAP in 2024 (&lt; 20% Vote Share)</t>
        </is>
      </c>
    </row>
    <row r="32">
      <c r="A32" s="45" t="inlineStr">
        <is>
          <t>Booth No</t>
        </is>
      </c>
      <c r="B32" s="45" t="inlineStr">
        <is>
          <t>Village (English)</t>
        </is>
      </c>
      <c r="C32" s="45" t="inlineStr">
        <is>
          <t>Village (Punjabi)</t>
        </is>
      </c>
      <c r="D32" s="45" t="inlineStr">
        <is>
          <t>2024 AAP Votes</t>
        </is>
      </c>
      <c r="E32" s="45" t="inlineStr">
        <is>
          <t>2024 AAP Share %</t>
        </is>
      </c>
      <c r="F32" s="45" t="inlineStr">
        <is>
          <t>2024 Winner</t>
        </is>
      </c>
      <c r="G32" s="45" t="inlineStr">
        <is>
          <t>Winner Margin</t>
        </is>
      </c>
    </row>
    <row r="33">
      <c r="A33" s="44" t="n">
        <v>132</v>
      </c>
      <c r="B33" s="10" t="inlineStr">
        <is>
          <t>Bhittewadd</t>
        </is>
      </c>
      <c r="C33" s="10" t="inlineStr">
        <is>
          <t>ਭਿਟੇਵੱਡ</t>
        </is>
      </c>
      <c r="D33" s="44" t="n">
        <v>31</v>
      </c>
      <c r="E33" s="44" t="inlineStr">
        <is>
          <t>7.6%</t>
        </is>
      </c>
      <c r="F33" s="44" t="inlineStr">
        <is>
          <t>INC</t>
        </is>
      </c>
      <c r="G33" s="44" t="inlineStr">
        <is>
          <t>-294 deficit</t>
        </is>
      </c>
    </row>
    <row r="34">
      <c r="A34" s="44" t="n">
        <v>180</v>
      </c>
      <c r="B34" s="10" t="inlineStr">
        <is>
          <t>Kotli Harchanda</t>
        </is>
      </c>
      <c r="C34" s="10" t="inlineStr">
        <is>
          <t>ਕੋਟਲੀ ਹਰਚੰਦਾ</t>
        </is>
      </c>
      <c r="D34" s="44" t="n">
        <v>37</v>
      </c>
      <c r="E34" s="44" t="inlineStr">
        <is>
          <t>8.85%</t>
        </is>
      </c>
      <c r="F34" s="44" t="inlineStr">
        <is>
          <t>BJP</t>
        </is>
      </c>
      <c r="G34" s="44" t="inlineStr">
        <is>
          <t>-227 deficit</t>
        </is>
      </c>
    </row>
    <row r="35">
      <c r="A35" s="44" t="n">
        <v>175</v>
      </c>
      <c r="B35" s="10" t="inlineStr">
        <is>
          <t>Chib</t>
        </is>
      </c>
      <c r="C35" s="10" t="inlineStr">
        <is>
          <t>ਛਿੱਬ</t>
        </is>
      </c>
      <c r="D35" s="44" t="n">
        <v>52</v>
      </c>
      <c r="E35" s="44" t="inlineStr">
        <is>
          <t>10.06%</t>
        </is>
      </c>
      <c r="F35" s="44" t="inlineStr">
        <is>
          <t>BJP</t>
        </is>
      </c>
      <c r="G35" s="44" t="inlineStr">
        <is>
          <t>-288 deficit</t>
        </is>
      </c>
    </row>
    <row r="36">
      <c r="A36" s="44" t="n">
        <v>210</v>
      </c>
      <c r="B36" s="10" t="inlineStr">
        <is>
          <t>Alma</t>
        </is>
      </c>
      <c r="C36" s="10" t="inlineStr">
        <is>
          <t>ਆਲਮਾ</t>
        </is>
      </c>
      <c r="D36" s="44" t="n">
        <v>60</v>
      </c>
      <c r="E36" s="44" t="inlineStr">
        <is>
          <t>10.36%</t>
        </is>
      </c>
      <c r="F36" s="44" t="inlineStr">
        <is>
          <t>INC</t>
        </is>
      </c>
      <c r="G36" s="44" t="inlineStr">
        <is>
          <t>-50 deficit</t>
        </is>
      </c>
    </row>
    <row r="37">
      <c r="A37" s="44" t="n">
        <v>166</v>
      </c>
      <c r="B37" s="10" t="inlineStr">
        <is>
          <t>Basrai</t>
        </is>
      </c>
      <c r="C37" s="10" t="inlineStr">
        <is>
          <t>ਬਸਰਈ</t>
        </is>
      </c>
      <c r="D37" s="44" t="n">
        <v>69</v>
      </c>
      <c r="E37" s="44" t="inlineStr">
        <is>
          <t>11.29%</t>
        </is>
      </c>
      <c r="F37" s="44" t="inlineStr">
        <is>
          <t>INC</t>
        </is>
      </c>
      <c r="G37" s="44" t="inlineStr">
        <is>
          <t>-134 deficit</t>
        </is>
      </c>
    </row>
    <row r="38">
      <c r="A38" s="44" t="n">
        <v>223</v>
      </c>
      <c r="B38" s="10" t="inlineStr">
        <is>
          <t>Phulrha</t>
        </is>
      </c>
      <c r="C38" s="10" t="inlineStr">
        <is>
          <t>ਫੁੱਲੜਾ</t>
        </is>
      </c>
      <c r="D38" s="44" t="n">
        <v>57</v>
      </c>
      <c r="E38" s="44" t="inlineStr">
        <is>
          <t>12.28%</t>
        </is>
      </c>
      <c r="F38" s="44" t="inlineStr">
        <is>
          <t>SAD</t>
        </is>
      </c>
      <c r="G38" s="44" t="inlineStr">
        <is>
          <t>-35 deficit</t>
        </is>
      </c>
    </row>
    <row r="39">
      <c r="A39" s="44" t="n">
        <v>107</v>
      </c>
      <c r="B39" s="10" t="inlineStr">
        <is>
          <t>Saidowal Khurd, Bhaini Kaniya, Chakk Abdul</t>
        </is>
      </c>
      <c r="C39" s="10" t="inlineStr">
        <is>
          <t>ਸੈਦੋਵਾਲ ਖੁਰਦ, ਭੈਣੀ ਕਾਨੀਆਂ, ਚੱਕ ਅਬਦੁਲ</t>
        </is>
      </c>
      <c r="D39" s="44" t="n">
        <v>29</v>
      </c>
      <c r="E39" s="44" t="inlineStr">
        <is>
          <t>12.34%</t>
        </is>
      </c>
      <c r="F39" s="44" t="inlineStr">
        <is>
          <t>BJP</t>
        </is>
      </c>
      <c r="G39" s="44" t="inlineStr">
        <is>
          <t>-48 deficit</t>
        </is>
      </c>
    </row>
    <row r="40">
      <c r="A40" s="44" t="n">
        <v>193</v>
      </c>
      <c r="B40" s="10" t="inlineStr">
        <is>
          <t>Thakkarwal</t>
        </is>
      </c>
      <c r="C40" s="10" t="inlineStr">
        <is>
          <t>ਠੱਕਰਵਾਲ</t>
        </is>
      </c>
      <c r="D40" s="44" t="n">
        <v>32</v>
      </c>
      <c r="E40" s="44" t="inlineStr">
        <is>
          <t>13.17%</t>
        </is>
      </c>
      <c r="F40" s="44" t="inlineStr">
        <is>
          <t>INC</t>
        </is>
      </c>
      <c r="G40" s="44" t="inlineStr">
        <is>
          <t>-33 deficit</t>
        </is>
      </c>
    </row>
    <row r="41">
      <c r="A41" s="44" t="n">
        <v>39</v>
      </c>
      <c r="B41" s="10" t="inlineStr">
        <is>
          <t>Dhariwal</t>
        </is>
      </c>
      <c r="C41" s="10" t="inlineStr">
        <is>
          <t>ਧਾਰੀਵਾਲ</t>
        </is>
      </c>
      <c r="D41" s="44" t="n">
        <v>29</v>
      </c>
      <c r="E41" s="44" t="inlineStr">
        <is>
          <t>14.15%</t>
        </is>
      </c>
      <c r="F41" s="44" t="inlineStr">
        <is>
          <t>INC</t>
        </is>
      </c>
      <c r="G41" s="44" t="inlineStr">
        <is>
          <t>-60 deficit</t>
        </is>
      </c>
    </row>
    <row r="42">
      <c r="A42" s="44" t="n">
        <v>182</v>
      </c>
      <c r="B42" s="10" t="inlineStr">
        <is>
          <t>Ghukkan</t>
        </is>
      </c>
      <c r="C42" s="10" t="inlineStr">
        <is>
          <t>ਘੁੱਕਲਾਂ</t>
        </is>
      </c>
      <c r="D42" s="44" t="n">
        <v>34</v>
      </c>
      <c r="E42" s="44" t="inlineStr">
        <is>
          <t>14.66%</t>
        </is>
      </c>
      <c r="F42" s="44" t="inlineStr">
        <is>
          <t>BJP</t>
        </is>
      </c>
      <c r="G42" s="44" t="inlineStr">
        <is>
          <t>-101 deficit</t>
        </is>
      </c>
    </row>
    <row r="43">
      <c r="A43" s="44" t="n">
        <v>110</v>
      </c>
      <c r="B43" s="10" t="inlineStr">
        <is>
          <t>Gulepur</t>
        </is>
      </c>
      <c r="C43" s="10" t="inlineStr">
        <is>
          <t>ਗੁਲੇਪੁਰ</t>
        </is>
      </c>
      <c r="D43" s="44" t="n">
        <v>85</v>
      </c>
      <c r="E43" s="44" t="inlineStr">
        <is>
          <t>14.91%</t>
        </is>
      </c>
      <c r="F43" s="44" t="inlineStr">
        <is>
          <t>INC</t>
        </is>
      </c>
      <c r="G43" s="44" t="inlineStr">
        <is>
          <t>-167 deficit</t>
        </is>
      </c>
    </row>
    <row r="44">
      <c r="A44" s="44" t="n">
        <v>154</v>
      </c>
      <c r="B44" s="10" t="inlineStr">
        <is>
          <t>Qadian Ward No. 15</t>
        </is>
      </c>
      <c r="C44" s="10" t="inlineStr">
        <is>
          <t>ਕਾਦੀਆਂ ਵਾਰਡ ਨੰ. 15</t>
        </is>
      </c>
      <c r="D44" s="44" t="n">
        <v>90</v>
      </c>
      <c r="E44" s="44" t="inlineStr">
        <is>
          <t>14.98%</t>
        </is>
      </c>
      <c r="F44" s="44" t="inlineStr">
        <is>
          <t>INC</t>
        </is>
      </c>
      <c r="G44" s="44" t="inlineStr">
        <is>
          <t>-176 deficit</t>
        </is>
      </c>
    </row>
    <row r="45">
      <c r="A45" s="44" t="n">
        <v>152</v>
      </c>
      <c r="B45" s="10" t="inlineStr">
        <is>
          <t>Qadian Ward No. 9</t>
        </is>
      </c>
      <c r="C45" s="10" t="inlineStr">
        <is>
          <t>ਕਾਦੀਆਂ ਵਾਰਡ ਨੰ. 9</t>
        </is>
      </c>
      <c r="D45" s="44" t="n">
        <v>117</v>
      </c>
      <c r="E45" s="44" t="inlineStr">
        <is>
          <t>15.9%</t>
        </is>
      </c>
      <c r="F45" s="44" t="inlineStr">
        <is>
          <t>BJP</t>
        </is>
      </c>
      <c r="G45" s="44" t="inlineStr">
        <is>
          <t>-262 deficit</t>
        </is>
      </c>
    </row>
    <row r="46">
      <c r="A46" s="44" t="n">
        <v>89</v>
      </c>
      <c r="B46" s="10" t="inlineStr">
        <is>
          <t>Kot Yograj</t>
        </is>
      </c>
      <c r="C46" s="10" t="inlineStr">
        <is>
          <t>ਕੋਟ ਯੋਗਰਾਜ</t>
        </is>
      </c>
      <c r="D46" s="44" t="n">
        <v>77</v>
      </c>
      <c r="E46" s="44" t="inlineStr">
        <is>
          <t>16.14%</t>
        </is>
      </c>
      <c r="F46" s="44" t="inlineStr">
        <is>
          <t>INC</t>
        </is>
      </c>
      <c r="G46" s="44" t="inlineStr">
        <is>
          <t>-191 deficit</t>
        </is>
      </c>
    </row>
    <row r="47">
      <c r="A47" s="44" t="n">
        <v>71</v>
      </c>
      <c r="B47" s="10" t="inlineStr">
        <is>
          <t>Faizulla Chak</t>
        </is>
      </c>
      <c r="C47" s="10" t="inlineStr">
        <is>
          <t>ਫੈਜੁੱਲਾ ਚੱਕ</t>
        </is>
      </c>
      <c r="D47" s="44" t="n">
        <v>104</v>
      </c>
      <c r="E47" s="44" t="inlineStr">
        <is>
          <t>16.64%</t>
        </is>
      </c>
      <c r="F47" s="44" t="inlineStr">
        <is>
          <t>INC</t>
        </is>
      </c>
      <c r="G47" s="44" t="inlineStr">
        <is>
          <t>-70 deficit</t>
        </is>
      </c>
    </row>
  </sheetData>
  <pageMargins left="0.75" right="0.75" top="1" bottom="1" header="0.5" footer="0.5"/>
  <headerFooter>
    <oddHeader>&amp;CDSIDEIN FIELD INTELLIGENCE | https://dsidein.com/qadian-2022-2024</oddHeader>
    <oddFooter>&amp;C18-Qadian Assembly Segment (2022 vs 2024) —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2026-09-09T13:03:20Z</dcterms:created>
  <dcterms:modified xmlns:dcterms="http://purl.org/dc/terms/" xmlns:xsi="http://www.w3.org/2001/XMLSchema-instance" xsi:type="dcterms:W3CDTF">2026-09-09T13:03:21Z</dcterms:modified>
</cp:coreProperties>
</file>